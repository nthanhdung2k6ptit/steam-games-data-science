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I_HOC\Slide_Bai_Giang\Ky_4\Data_science\BTL\steam-games-data-science\reports\"/>
    </mc:Choice>
  </mc:AlternateContent>
  <xr:revisionPtr revIDLastSave="0" documentId="13_ncr:1_{92D2F159-38FB-4BE7-9D14-5CF2D2C6A71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ummary" sheetId="1" r:id="rId1"/>
    <sheet name="Checklist" sheetId="2" r:id="rId2"/>
    <sheet name="Beyond_Requirements" sheetId="3" r:id="rId3"/>
    <sheet name="AI_vs_Student" sheetId="4" r:id="rId4"/>
    <sheet name="Models_Techniqu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6" i="1" l="1"/>
  <c r="B16" i="1"/>
  <c r="C15" i="1"/>
  <c r="B15" i="1"/>
  <c r="C14" i="1"/>
  <c r="B14" i="1"/>
  <c r="C13" i="1"/>
  <c r="B13" i="1"/>
  <c r="C17" i="1" l="1"/>
  <c r="B17" i="1"/>
</calcChain>
</file>

<file path=xl/sharedStrings.xml><?xml version="1.0" encoding="utf-8"?>
<sst xmlns="http://schemas.openxmlformats.org/spreadsheetml/2006/main" count="606" uniqueCount="332">
  <si>
    <t>STEAM GAMES DATA SCIENCE PROJECT - CHECKLIST TỔNG HỢP</t>
  </si>
  <si>
    <t>Thông tin</t>
  </si>
  <si>
    <t>Nội dung</t>
  </si>
  <si>
    <t>Dataset</t>
  </si>
  <si>
    <t>Pipeline</t>
  </si>
  <si>
    <t>CSV → MySQL → SQL Views/Indexes → EDA → Preprocessing/PCA → Models → Explainability → Ethics → Recommendation</t>
  </si>
  <si>
    <t>Số notebook</t>
  </si>
  <si>
    <t>SQL scripts</t>
  </si>
  <si>
    <t>import_csv_to_mysql.py, queries.sql</t>
  </si>
  <si>
    <t>Models/Methods</t>
  </si>
  <si>
    <t>Linear Regression, Random Forest Regressor, Random Forest Classifier, KNN, KMeans + PCA, TF-IDF + Cosine Similarity</t>
  </si>
  <si>
    <t>Phần vượt yêu cầu</t>
  </si>
  <si>
    <t>MySQL integration, SQL views/indexes, subquery, explainability, ethics/responsible AI, recommendation system, memory optimization</t>
  </si>
  <si>
    <t>Ghi chú AI</t>
  </si>
  <si>
    <t>KPI</t>
  </si>
  <si>
    <t>Kết quả</t>
  </si>
  <si>
    <t>Ý nghĩa</t>
  </si>
  <si>
    <t>Ghi chú</t>
  </si>
  <si>
    <t>Tổng số checklist</t>
  </si>
  <si>
    <t>Tất cả mục trong bảng checklist</t>
  </si>
  <si>
    <t>Tự động tính</t>
  </si>
  <si>
    <t>Số mục hoàn thành</t>
  </si>
  <si>
    <t>Các mục đã làm xong</t>
  </si>
  <si>
    <t>Số mục vượt yêu cầu</t>
  </si>
  <si>
    <t>Các mục đào sâu hơn mức cơ bản</t>
  </si>
  <si>
    <t>Số mục có AI hỗ trợ</t>
  </si>
  <si>
    <t>Các mục có AI hỗ trợ</t>
  </si>
  <si>
    <t>Tỷ lệ hoàn thành</t>
  </si>
  <si>
    <t>Phần trăm hoàn thành</t>
  </si>
  <si>
    <t>Định dạng %</t>
  </si>
  <si>
    <t>ID</t>
  </si>
  <si>
    <t>Nhóm công việc</t>
  </si>
  <si>
    <t>Mục đã làm</t>
  </si>
  <si>
    <t>Minh chứng / Output</t>
  </si>
  <si>
    <t>Status</t>
  </si>
  <si>
    <t>Mức độ</t>
  </si>
  <si>
    <t>Yêu cầu/Vượt</t>
  </si>
  <si>
    <t>AI hỗ trợ</t>
  </si>
  <si>
    <t>Data source</t>
  </si>
  <si>
    <t>CSV raw files</t>
  </si>
  <si>
    <t>Xác định dataset gồm nhiều file CSV liên quan đến Steam games</t>
  </si>
  <si>
    <t>applications, genres, developers, publishers, reviews, mapping tables</t>
  </si>
  <si>
    <t>Done</t>
  </si>
  <si>
    <t>Bắt buộc</t>
  </si>
  <si>
    <t>Yêu cầu</t>
  </si>
  <si>
    <t>Nhóm</t>
  </si>
  <si>
    <t>Có</t>
  </si>
  <si>
    <t>Dataset có cấu trúc gần database quan hệ</t>
  </si>
  <si>
    <t>SQL/MySQL</t>
  </si>
  <si>
    <t>import_csv_to_mysql.py</t>
  </si>
  <si>
    <t>Import toàn bộ CSV vào MySQL</t>
  </si>
  <si>
    <t>Dùng pandas read_csv + SQLAlchemy to_sql; chunksize=5000</t>
  </si>
  <si>
    <t>Vượt yêu cầu</t>
  </si>
  <si>
    <t>Mô phỏng pipeline thực tế thay vì chỉ đọc CSV</t>
  </si>
  <si>
    <t>queries.sql</t>
  </si>
  <si>
    <t>Viết truy vấn kiểm tra bảng, count, sample data</t>
  </si>
  <si>
    <t>COUNT, SELECT LIMIT, thống kê bảng</t>
  </si>
  <si>
    <t>Kiểm chứng import dữ liệu</t>
  </si>
  <si>
    <t>Có subquery</t>
  </si>
  <si>
    <t>Nâng cao</t>
  </si>
  <si>
    <t>Thể hiện kỹ năng SQL nâng cao</t>
  </si>
  <si>
    <t>Tạo SQL views dùng cho ML/EDA/Recommendation</t>
  </si>
  <si>
    <t>vw_applications_ml_base, vw_games_full_metadata, vw_recommendation_full</t>
  </si>
  <si>
    <t>Tách logic SQL rõ ràng</t>
  </si>
  <si>
    <t>Tạo index cho các cột JOIN</t>
  </si>
  <si>
    <t>appid, genre_id, developer_id, publisher_id</t>
  </si>
  <si>
    <t>Tăng tốc JOIN/view</t>
  </si>
  <si>
    <t>01 EDA</t>
  </si>
  <si>
    <t>01_eda.ipynb</t>
  </si>
  <si>
    <t>Load dữ liệu từ MySQL view</t>
  </si>
  <si>
    <t>vw_games_full_metadata</t>
  </si>
  <si>
    <t>EDA dùng dữ liệu đã JOIN metadata</t>
  </si>
  <si>
    <t>Data overview và df.info</t>
  </si>
  <si>
    <t>shape, columns, dtype, non-null count</t>
  </si>
  <si>
    <t>Hiểu cấu trúc dữ liệu</t>
  </si>
  <si>
    <t>Missing values analysis</t>
  </si>
  <si>
    <t>Missing count và missing percentage</t>
  </si>
  <si>
    <t>Làm cơ sở cho preprocessing</t>
  </si>
  <si>
    <t>Visualization EDA</t>
  </si>
  <si>
    <t>Biểu đồ missing, phân tích giá, categorical/platform</t>
  </si>
  <si>
    <t>02 Preprocessing/PCA</t>
  </si>
  <si>
    <t>02_preprocessing_pca.ipynb</t>
  </si>
  <si>
    <t>vw_applications_ml_base</t>
  </si>
  <si>
    <t>Nguồn dữ liệu thống nhất SQL</t>
  </si>
  <si>
    <t>Xử lý missing values</t>
  </si>
  <si>
    <t>Drop cột thiếu nhiều, fill numeric/categorical</t>
  </si>
  <si>
    <t>Chuẩn bị data cho model</t>
  </si>
  <si>
    <t>Chuyển đổi kiểu dữ liệu</t>
  </si>
  <si>
    <t>required_age numeric, release_date datetime</t>
  </si>
  <si>
    <t>Dữ liệu nhất quán hơn</t>
  </si>
  <si>
    <t>Feature Engineering</t>
  </si>
  <si>
    <t>has_discount, price_category, platform_count, num_languages</t>
  </si>
  <si>
    <t>Tạo feature có ý nghĩa thực tế</t>
  </si>
  <si>
    <t>Encoding và Scaling</t>
  </si>
  <si>
    <t>One-Hot Encoding, StandardScaler</t>
  </si>
  <si>
    <t>Chuẩn hóa dữ liệu ML</t>
  </si>
  <si>
    <t>PCA giữ 95% variance</t>
  </si>
  <si>
    <t>Xuất pca_data.csv</t>
  </si>
  <si>
    <t>Dùng cho clustering</t>
  </si>
  <si>
    <t>Lưu processed data</t>
  </si>
  <si>
    <t>clean_data.csv, pca_data.csv</t>
  </si>
  <si>
    <t>Tạo pipeline nối các notebook</t>
  </si>
  <si>
    <t>03 Regression</t>
  </si>
  <si>
    <t>03_regression.ipynb</t>
  </si>
  <si>
    <t>Xây dựng Regression models</t>
  </si>
  <si>
    <t>Linear Regression, Random Forest Regressor</t>
  </si>
  <si>
    <t>Đánh giá Regression</t>
  </si>
  <si>
    <t>MAE, MSE/RMSE, R2, visualization</t>
  </si>
  <si>
    <t>Theo yêu cầu regression metrics</t>
  </si>
  <si>
    <t>04 Classification</t>
  </si>
  <si>
    <t>04_classification.ipynb</t>
  </si>
  <si>
    <t>Xây dựng Classification models</t>
  </si>
  <si>
    <t>Random Forest Classifier, KNN</t>
  </si>
  <si>
    <t>Đánh giá Classification</t>
  </si>
  <si>
    <t>Accuracy, Precision, Recall, F1-score, Confusion Matrix</t>
  </si>
  <si>
    <t>Theo yêu cầu classification metrics</t>
  </si>
  <si>
    <t>05 Clustering</t>
  </si>
  <si>
    <t>05_clustering.ipynb</t>
  </si>
  <si>
    <t>KMeans trên PCA data</t>
  </si>
  <si>
    <t>n_clusters=5, random_state=42, n_init=10</t>
  </si>
  <si>
    <t>Unsupervised learning</t>
  </si>
  <si>
    <t>Elbow Method</t>
  </si>
  <si>
    <t>Thử k=2..10, inertia plot</t>
  </si>
  <si>
    <t>Cơ sở chọn k=5</t>
  </si>
  <si>
    <t>Silhouette Score</t>
  </si>
  <si>
    <t>Score khoảng 0.436 trên sample 10000</t>
  </si>
  <si>
    <t>Đánh giá chất lượng cụm</t>
  </si>
  <si>
    <t>Gắn cluster vào metadata MySQL</t>
  </si>
  <si>
    <t>Kiểm tra số dòng PCA/cluster/metadata khớp 239660</t>
  </si>
  <si>
    <t>Giải thích cluster bằng dữ liệu gốc</t>
  </si>
  <si>
    <t>Visualization cluster</t>
  </si>
  <si>
    <t>PCA projection, có xử lý outlier khi vẽ</t>
  </si>
  <si>
    <t>Model vẫn train full data</t>
  </si>
  <si>
    <t>06 Explainability</t>
  </si>
  <si>
    <t>06_model_explainability.ipynb</t>
  </si>
  <si>
    <t>Train Random Forest để giải thích model</t>
  </si>
  <si>
    <t>Target mat_supports_linux, features dễ hiểu</t>
  </si>
  <si>
    <t>Không thay thế file classification</t>
  </si>
  <si>
    <t>Kiểm tra mất cân bằng target</t>
  </si>
  <si>
    <t>Class distribution trước khi train</t>
  </si>
  <si>
    <t>Giải thích accuracy cẩn thận</t>
  </si>
  <si>
    <t>Feature Importance</t>
  </si>
  <si>
    <t>model.feature_importances_ + chart</t>
  </si>
  <si>
    <t>Tăng minh bạch model</t>
  </si>
  <si>
    <t>Permutation Importance</t>
  </si>
  <si>
    <t>permutation_importance + chart</t>
  </si>
  <si>
    <t>Kiểm chứng ảnh hưởng feature</t>
  </si>
  <si>
    <t>07 Ethics</t>
  </si>
  <si>
    <t>07_ethics_analysis.ipynb</t>
  </si>
  <si>
    <t>Ethics/Responsible AI analysis</t>
  </si>
  <si>
    <t>Missing data, platform bias, popularity bias, privacy</t>
  </si>
  <si>
    <t>Góc nhìn đạo đức dữ liệu</t>
  </si>
  <si>
    <t>Missing data bias visualization</t>
  </si>
  <si>
    <t>Top missing features plot</t>
  </si>
  <si>
    <t>Nhận diện data availability bias</t>
  </si>
  <si>
    <t>Platform bias analysis</t>
  </si>
  <si>
    <t>Windows/Mac/Linux count + percentage</t>
  </si>
  <si>
    <t>Có nhận xét mức độ bias theo output</t>
  </si>
  <si>
    <t>08 Recommendation</t>
  </si>
  <si>
    <t>08_recommendation_system.ipynb</t>
  </si>
  <si>
    <t>Content-Based Recommendation</t>
  </si>
  <si>
    <t>Dùng mô tả + genres + developers + publishers</t>
  </si>
  <si>
    <t>Có view riêng vw_recommendation_full</t>
  </si>
  <si>
    <t>TF-IDF Vectorization</t>
  </si>
  <si>
    <t>max_features=5000, stop_words=english</t>
  </si>
  <si>
    <t>Biến text thành vector số</t>
  </si>
  <si>
    <t>Cosine Similarity / linear_kernel</t>
  </si>
  <si>
    <t>Tính similarity động, không tạo full matrix</t>
  </si>
  <si>
    <t>Tối ưu bộ nhớ cho dataset lớn</t>
  </si>
  <si>
    <t>Filter type == game</t>
  </si>
  <si>
    <t>Loại DLC/music/soundtrack khỏi recommendation</t>
  </si>
  <si>
    <t>Tăng chất lượng đề xuất</t>
  </si>
  <si>
    <t>Test nhiều game hot</t>
  </si>
  <si>
    <t>Counter-Strike, Black Myth, GTA, Cyberpunk, PUBG</t>
  </si>
  <si>
    <t>Chứng minh đa dạng thể loại</t>
  </si>
  <si>
    <t>GitHub</t>
  </si>
  <si>
    <t>README.md</t>
  </si>
  <si>
    <t>Mô tả dataset, pipeline, models/techniques</t>
  </si>
  <si>
    <t>README có overview + technologies + tasks</t>
  </si>
  <si>
    <t>Phục vụ nộp source</t>
  </si>
  <si>
    <t>Mô tả</t>
  </si>
  <si>
    <t>Minh chứng</t>
  </si>
  <si>
    <t>MySQL Integration</t>
  </si>
  <si>
    <t>Import CSV vào MySQL, không chỉ đọc file CSV trực tiếp</t>
  </si>
  <si>
    <t>import_csv_to_mysql.py, các bảng trong MySQL</t>
  </si>
  <si>
    <t>Mô phỏng quy trình thực tế</t>
  </si>
  <si>
    <t>SQL Views</t>
  </si>
  <si>
    <t>Tạo view nền ML, view metadata, view recommendation</t>
  </si>
  <si>
    <t>Tái sử dụng query, giảm lặp code</t>
  </si>
  <si>
    <t>SQL Indexes</t>
  </si>
  <si>
    <t>Tạo index trên các cột JOIN</t>
  </si>
  <si>
    <t>Tăng tốc JOIN với dataset lớn</t>
  </si>
  <si>
    <t>Subquery SQL</t>
  </si>
  <si>
    <t>Truy vấn game có recommendations cao hơn trung bình</t>
  </si>
  <si>
    <t>Thể hiện SQL nâng cao</t>
  </si>
  <si>
    <t>PCA</t>
  </si>
  <si>
    <t>Giảm chiều dữ liệu giữ 95% variance</t>
  </si>
  <si>
    <t>pca_data.csv</t>
  </si>
  <si>
    <t>Hỗ trợ clustering nhanh và ít nhiễu hơn</t>
  </si>
  <si>
    <t>Clustering Evaluation</t>
  </si>
  <si>
    <t>Không chỉ train KMeans mà còn dùng Elbow + Silhouette</t>
  </si>
  <si>
    <t>Có cơ sở chọn k và đánh giá cụm</t>
  </si>
  <si>
    <t>Cluster Explainability</t>
  </si>
  <si>
    <t>Gắn cluster vào metadata từ MySQL để giải thích</t>
  </si>
  <si>
    <t>df_cluster + cluster summary</t>
  </si>
  <si>
    <t>Biến nhãn 0-4 thành insight thực tế</t>
  </si>
  <si>
    <t>Model Explainability</t>
  </si>
  <si>
    <t>Feature Importance + Permutation Importance</t>
  </si>
  <si>
    <t>Tăng tính minh bạch của model</t>
  </si>
  <si>
    <t>Ethics / Responsible AI</t>
  </si>
  <si>
    <t>Phân tích missing data bias, platform bias, popularity bias</t>
  </si>
  <si>
    <t>Có góc nhìn trách nhiệm AI</t>
  </si>
  <si>
    <t>Recommendation Optimization</t>
  </si>
  <si>
    <t>Tính cosine similarity động bằng linear_kernel, không tạo full matrix</t>
  </si>
  <si>
    <t>Tránh MemoryError với dataset lớn</t>
  </si>
  <si>
    <t>Recommendation Quality Control</t>
  </si>
  <si>
    <t>Filter type == game, clean content thống nhất</t>
  </si>
  <si>
    <t>Tránh đề xuất DLC/music, nâng chất lượng output</t>
  </si>
  <si>
    <t>Hạng mục</t>
  </si>
  <si>
    <t>EDA</t>
  </si>
  <si>
    <t>Preprocessing/PCA</t>
  </si>
  <si>
    <t>Gợi ý xử lý missing, encoding, scaling, PCA, save processed data</t>
  </si>
  <si>
    <t>Chạy cell, sửa lỗi biến/cột, tạo clean_data và pca_data</t>
  </si>
  <si>
    <t>Regression/Classification</t>
  </si>
  <si>
    <t>Gợi ý kiểm tra metric cần có</t>
  </si>
  <si>
    <t>Clustering</t>
  </si>
  <si>
    <t>Chạy model, chọn k=5, kiểm tra score, gắn metadata, phân tích cụm</t>
  </si>
  <si>
    <t>Explainability</t>
  </si>
  <si>
    <t>Chạy notebook, kiểm tra target distribution và output importance</t>
  </si>
  <si>
    <t>File 06 tập trung explainability, không lặp file 04</t>
  </si>
  <si>
    <t>Ethics</t>
  </si>
  <si>
    <t>Chạy missing/platform analysis, diễn giải theo output thật</t>
  </si>
  <si>
    <t>Recommendation</t>
  </si>
  <si>
    <t>Chạy hệ khuyến nghị, kiểm tra output, sửa tên game/test case</t>
  </si>
  <si>
    <t>Model / Kỹ thuật</t>
  </si>
  <si>
    <t>File</t>
  </si>
  <si>
    <t>Vai trò</t>
  </si>
  <si>
    <t>Metric / Output chính</t>
  </si>
  <si>
    <t>Database</t>
  </si>
  <si>
    <t>SQL scripts + notebooks</t>
  </si>
  <si>
    <t>Lưu trữ, truy vấn, JOIN dữ liệu</t>
  </si>
  <si>
    <t>views, indexes, subquery</t>
  </si>
  <si>
    <t>Dùng trước khi Python analysis</t>
  </si>
  <si>
    <t>EDA + Visualization</t>
  </si>
  <si>
    <t>Hiểu dữ liệu, missing, distribution</t>
  </si>
  <si>
    <t>df.info, missing tables, charts</t>
  </si>
  <si>
    <t>Không phải model</t>
  </si>
  <si>
    <t>Preprocessing</t>
  </si>
  <si>
    <t>Missing Handling</t>
  </si>
  <si>
    <t>Làm sạch dữ liệu</t>
  </si>
  <si>
    <t>clean_data.csv</t>
  </si>
  <si>
    <t>Chuẩn bị cho 03/04</t>
  </si>
  <si>
    <t>Tạo feature mới</t>
  </si>
  <si>
    <t>has_discount, platform_count, num_languages</t>
  </si>
  <si>
    <t>Tăng thông tin cho model</t>
  </si>
  <si>
    <t>One-Hot Encoding</t>
  </si>
  <si>
    <t>Chuyển categorical sang numeric</t>
  </si>
  <si>
    <t>df_encoded</t>
  </si>
  <si>
    <t>Cần cho sklearn</t>
  </si>
  <si>
    <t>StandardScaler</t>
  </si>
  <si>
    <t>Chuẩn hóa numeric features</t>
  </si>
  <si>
    <t>scaled features</t>
  </si>
  <si>
    <t>Quan trọng cho PCA/KMeans</t>
  </si>
  <si>
    <t>Dimensionality Reduction</t>
  </si>
  <si>
    <t>02_preprocessing_pca.ipynb, 05_clustering.ipynb</t>
  </si>
  <si>
    <t>Giảm chiều, giữ 95% variance</t>
  </si>
  <si>
    <t>Regression</t>
  </si>
  <si>
    <t>Linear Regression</t>
  </si>
  <si>
    <t>Baseline regression</t>
  </si>
  <si>
    <t>MAE/MSE/RMSE/R2</t>
  </si>
  <si>
    <t>Random Forest Regressor</t>
  </si>
  <si>
    <t>Regression model phi tuyến</t>
  </si>
  <si>
    <t>Classification</t>
  </si>
  <si>
    <t>Random Forest Classifier</t>
  </si>
  <si>
    <t>Classification model</t>
  </si>
  <si>
    <t>Accuracy/Precision/Recall/F1/CM</t>
  </si>
  <si>
    <t>KNN</t>
  </si>
  <si>
    <t>Classification model dựa trên khoảng cách</t>
  </si>
  <si>
    <t>KMeans</t>
  </si>
  <si>
    <t>Phân cụm không nhãn</t>
  </si>
  <si>
    <t>Elbow, Silhouette ~0.436</t>
  </si>
  <si>
    <t>k=5</t>
  </si>
  <si>
    <t>Chọn số cụm k</t>
  </si>
  <si>
    <t>Inertia plot</t>
  </si>
  <si>
    <t>Hỗ trợ chọn k=5</t>
  </si>
  <si>
    <t>~0.436</t>
  </si>
  <si>
    <t>Tính trên sample 10000</t>
  </si>
  <si>
    <t>Model nền để giải thích</t>
  </si>
  <si>
    <t>Accuracy kiểm tra nhanh</t>
  </si>
  <si>
    <t>Không thay thế file 04</t>
  </si>
  <si>
    <t>Đánh giá feature theo Random Forest</t>
  </si>
  <si>
    <t>importance table/chart</t>
  </si>
  <si>
    <t>Model transparency</t>
  </si>
  <si>
    <t>Tráo feature để đo ảnh hưởng thực tế</t>
  </si>
  <si>
    <t>permutation table/chart</t>
  </si>
  <si>
    <t>Kiểm chứng importance</t>
  </si>
  <si>
    <t>Ethics Analysis / Responsible AI</t>
  </si>
  <si>
    <t>Nhận diện bias/rủi ro</t>
  </si>
  <si>
    <t>missing data bias, platform bias, popularity bias</t>
  </si>
  <si>
    <t>Content-Based Filtering</t>
  </si>
  <si>
    <t>Gợi ý game tương tự</t>
  </si>
  <si>
    <t>Top-N recommendations</t>
  </si>
  <si>
    <t>Không có user-rating nên không dùng collaborative</t>
  </si>
  <si>
    <t>TF-IDF</t>
  </si>
  <si>
    <t>Vector hóa text content</t>
  </si>
  <si>
    <t>tfidf_matrix</t>
  </si>
  <si>
    <t>max_features=5000</t>
  </si>
  <si>
    <t>Cosine Similarity / Linear Kernel</t>
  </si>
  <si>
    <t>Tính độ tương đồng game</t>
  </si>
  <si>
    <t>similarity_score</t>
  </si>
  <si>
    <t>Tính động để tiết kiệm RAM</t>
  </si>
  <si>
    <t>Steam Games Dataset - thông tin game/app trên Steam: giá, ngày phát hành, nền tảng, đánh giá, recommendation, mô tả, genres, developers, publishers…</t>
  </si>
  <si>
    <t>AI hỗ trợ gợi ý cấu trúc, debug, tối ưu logic; nhóm trực tiếp code, kiểm chứng output, sửa lỗi, hiểu và trình bày.</t>
  </si>
  <si>
    <t>Game có recommendations cao hơn trung bình dataset…</t>
  </si>
  <si>
    <t>Có nhận xét</t>
  </si>
  <si>
    <t>Dùng clean_data.csv, so sánh 2 model</t>
  </si>
  <si>
    <t>Dùng clean_data.csv, so sánh model</t>
  </si>
  <si>
    <t>Phần đào sâu</t>
  </si>
  <si>
    <t>Note</t>
  </si>
  <si>
    <t>Nhóm làm trực tiếp</t>
  </si>
  <si>
    <t>Full code</t>
  </si>
  <si>
    <t>AI không thể thay thế con người</t>
  </si>
  <si>
    <t>Silhouette, visualization</t>
  </si>
  <si>
    <t>Bug nhiều AI hỗ trợ fix</t>
  </si>
  <si>
    <t>Gợi ý Random Forest, Feature Importance</t>
  </si>
  <si>
    <t>Gợi ý các nhóm bias</t>
  </si>
  <si>
    <t>Gợi ý TF-IDF, cosine/linear_kernel</t>
  </si>
  <si>
    <t>Nhóm code + kiểm chứng</t>
  </si>
  <si>
    <t>Nhận xét đúng số liệu</t>
  </si>
  <si>
    <t>Số lượng</t>
  </si>
  <si>
    <t>Kiểm chứng shape và file đầu ra</t>
  </si>
  <si>
    <t>Có so sánh để tìm ra model phù hợp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</si>
</sst>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1F2937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F4E78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/>
    </xf>
    <xf numFmtId="0" fontId="0" fillId="0" borderId="0" xfId="0"/>
    <xf numFmtId="0" fontId="3" fillId="4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9" fontId="0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4">
    <dxf>
      <font>
        <color rgb="FF3730A3"/>
      </font>
      <fill>
        <patternFill patternType="solid">
          <bgColor rgb="FFE0E7FF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alignment horizontal="lef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hecklistTable" displayName="ChecklistTable" ref="A1:J40">
  <tableColumns count="10">
    <tableColumn id="1" xr3:uid="{00000000-0010-0000-0000-000001000000}" name="ID" dataDxfId="3"/>
    <tableColumn id="2" xr3:uid="{00000000-0010-0000-0000-000002000000}" name="Nhóm công việc"/>
    <tableColumn id="3" xr3:uid="{00000000-0010-0000-0000-000003000000}" name="File"/>
    <tableColumn id="4" xr3:uid="{00000000-0010-0000-0000-000004000000}" name="Mục đã làm"/>
    <tableColumn id="5" xr3:uid="{00000000-0010-0000-0000-000005000000}" name="Minh chứng / Output"/>
    <tableColumn id="6" xr3:uid="{00000000-0010-0000-0000-000006000000}" name="Status"/>
    <tableColumn id="7" xr3:uid="{00000000-0010-0000-0000-000007000000}" name="Mức độ"/>
    <tableColumn id="8" xr3:uid="{00000000-0010-0000-0000-000008000000}" name="Yêu cầu/Vượt"/>
    <tableColumn id="10" xr3:uid="{00000000-0010-0000-0000-00000A000000}" name="AI hỗ trợ"/>
    <tableColumn id="11" xr3:uid="{00000000-0010-0000-0000-00000B000000}" name="Ghi ch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eyondTable" displayName="BeyondTable" ref="A1:E12">
  <tableColumns count="5">
    <tableColumn id="1" xr3:uid="{00000000-0010-0000-0100-000001000000}" name="ID"/>
    <tableColumn id="2" xr3:uid="{00000000-0010-0000-0100-000002000000}" name="Phần đào sâu"/>
    <tableColumn id="3" xr3:uid="{00000000-0010-0000-0100-000003000000}" name="Mô tả"/>
    <tableColumn id="4" xr3:uid="{00000000-0010-0000-0100-000004000000}" name="Minh chứng"/>
    <tableColumn id="5" xr3:uid="{00000000-0010-0000-0100-000005000000}" name="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ITable" displayName="AITable" ref="A1:D7">
  <tableColumns count="4">
    <tableColumn id="1" xr3:uid="{00000000-0010-0000-0200-000001000000}" name="Hạng mục"/>
    <tableColumn id="2" xr3:uid="{00000000-0010-0000-0200-000002000000}" name="AI hỗ trợ"/>
    <tableColumn id="3" xr3:uid="{00000000-0010-0000-0200-000003000000}" name="Nhóm làm trực tiếp"/>
    <tableColumn id="4" xr3:uid="{00000000-0010-0000-0200-000004000000}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odelsTable" displayName="ModelsTable" ref="A1:F22">
  <tableColumns count="6">
    <tableColumn id="1" xr3:uid="{00000000-0010-0000-0300-000001000000}" name="Nhóm"/>
    <tableColumn id="2" xr3:uid="{00000000-0010-0000-0300-000002000000}" name="Model / Kỹ thuật"/>
    <tableColumn id="3" xr3:uid="{00000000-0010-0000-0300-000003000000}" name="File"/>
    <tableColumn id="4" xr3:uid="{00000000-0010-0000-0300-000004000000}" name="Vai trò"/>
    <tableColumn id="5" xr3:uid="{00000000-0010-0000-0300-000005000000}" name="Metric / Output chính"/>
    <tableColumn id="6" xr3:uid="{00000000-0010-0000-0300-000006000000}" name="Ghi ch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9"/>
  <sheetViews>
    <sheetView workbookViewId="0">
      <selection activeCell="G17" sqref="G17"/>
    </sheetView>
  </sheetViews>
  <sheetFormatPr defaultRowHeight="14.25"/>
  <cols>
    <col min="1" max="1" width="19.125" customWidth="1"/>
    <col min="2" max="2" width="65.125" bestFit="1" customWidth="1"/>
    <col min="3" max="3" width="9.125" customWidth="1"/>
    <col min="4" max="4" width="31.25" customWidth="1"/>
    <col min="5" max="5" width="10.125" customWidth="1"/>
  </cols>
  <sheetData>
    <row r="1" spans="1:8" ht="30" customHeight="1">
      <c r="A1" s="4" t="s">
        <v>0</v>
      </c>
      <c r="B1" s="5"/>
      <c r="C1" s="5"/>
      <c r="D1" s="5"/>
      <c r="E1" s="5"/>
      <c r="F1" s="5"/>
      <c r="G1" s="5"/>
      <c r="H1" s="5"/>
    </row>
    <row r="2" spans="1:8" ht="36" customHeight="1"/>
    <row r="3" spans="1:8" ht="36" customHeight="1">
      <c r="A3" s="1" t="s">
        <v>1</v>
      </c>
      <c r="B3" s="1" t="s">
        <v>2</v>
      </c>
    </row>
    <row r="4" spans="1:8" ht="36" customHeight="1">
      <c r="A4" s="6" t="s">
        <v>3</v>
      </c>
      <c r="B4" s="7" t="s">
        <v>311</v>
      </c>
    </row>
    <row r="5" spans="1:8" ht="36" customHeight="1">
      <c r="A5" s="6" t="s">
        <v>4</v>
      </c>
      <c r="B5" s="7" t="s">
        <v>5</v>
      </c>
    </row>
    <row r="6" spans="1:8" ht="36" customHeight="1">
      <c r="A6" s="6" t="s">
        <v>6</v>
      </c>
      <c r="B6" s="3">
        <v>8</v>
      </c>
    </row>
    <row r="7" spans="1:8" ht="36" customHeight="1">
      <c r="A7" s="6" t="s">
        <v>7</v>
      </c>
      <c r="B7" s="7" t="s">
        <v>8</v>
      </c>
    </row>
    <row r="8" spans="1:8" ht="36" customHeight="1">
      <c r="A8" s="6" t="s">
        <v>9</v>
      </c>
      <c r="B8" s="7" t="s">
        <v>10</v>
      </c>
    </row>
    <row r="9" spans="1:8" ht="36" customHeight="1">
      <c r="A9" s="6" t="s">
        <v>11</v>
      </c>
      <c r="B9" s="7" t="s">
        <v>12</v>
      </c>
    </row>
    <row r="10" spans="1:8" ht="36" customHeight="1">
      <c r="A10" s="6" t="s">
        <v>13</v>
      </c>
      <c r="B10" s="7" t="s">
        <v>312</v>
      </c>
    </row>
    <row r="11" spans="1:8" ht="36" customHeight="1"/>
    <row r="12" spans="1:8" ht="36" customHeight="1">
      <c r="A12" s="1" t="s">
        <v>14</v>
      </c>
      <c r="B12" s="1" t="s">
        <v>329</v>
      </c>
      <c r="C12" s="1" t="s">
        <v>15</v>
      </c>
      <c r="D12" s="1" t="s">
        <v>16</v>
      </c>
      <c r="E12" s="1" t="s">
        <v>17</v>
      </c>
    </row>
    <row r="13" spans="1:8" ht="36" customHeight="1">
      <c r="A13" s="3" t="s">
        <v>18</v>
      </c>
      <c r="B13" s="3">
        <f>COUNTA(Checklist!A2:A199)</f>
        <v>39</v>
      </c>
      <c r="C13" s="3">
        <f>COUNTA(Checklist!A2:A199)</f>
        <v>39</v>
      </c>
      <c r="D13" s="3" t="s">
        <v>19</v>
      </c>
      <c r="E13" s="3" t="s">
        <v>20</v>
      </c>
    </row>
    <row r="14" spans="1:8" ht="36" customHeight="1">
      <c r="A14" s="3" t="s">
        <v>21</v>
      </c>
      <c r="B14" s="3">
        <f>COUNTIF(Checklist!F2:F199,"Done")</f>
        <v>39</v>
      </c>
      <c r="C14" s="3">
        <f>COUNTIF(Checklist!F2:F199,"Done")</f>
        <v>39</v>
      </c>
      <c r="D14" s="3" t="s">
        <v>22</v>
      </c>
      <c r="E14" s="3" t="s">
        <v>20</v>
      </c>
    </row>
    <row r="15" spans="1:8" ht="36" customHeight="1">
      <c r="A15" s="3" t="s">
        <v>23</v>
      </c>
      <c r="B15" s="3">
        <f>COUNTIF(Checklist!H2:H199,"Vượt yêu cầu")</f>
        <v>23</v>
      </c>
      <c r="C15" s="3">
        <f>COUNTIF(Checklist!H2:H199,"Vượt yêu cầu")</f>
        <v>23</v>
      </c>
      <c r="D15" s="3" t="s">
        <v>24</v>
      </c>
      <c r="E15" s="3" t="s">
        <v>20</v>
      </c>
    </row>
    <row r="16" spans="1:8" ht="36" customHeight="1">
      <c r="A16" s="3" t="s">
        <v>25</v>
      </c>
      <c r="B16" s="3">
        <f>COUNTIF(Checklist!I2:I199,"Có")</f>
        <v>39</v>
      </c>
      <c r="C16" s="3">
        <f>COUNTIF(Checklist!I2:I199,"Có")</f>
        <v>39</v>
      </c>
      <c r="D16" s="3" t="s">
        <v>26</v>
      </c>
      <c r="E16" s="3" t="s">
        <v>20</v>
      </c>
    </row>
    <row r="17" spans="1:5" ht="36" customHeight="1">
      <c r="A17" s="3" t="s">
        <v>27</v>
      </c>
      <c r="B17" s="3">
        <f>C14/C13</f>
        <v>1</v>
      </c>
      <c r="C17" s="8">
        <f>IFERROR(C14/C13,0)</f>
        <v>1</v>
      </c>
      <c r="D17" s="3" t="s">
        <v>28</v>
      </c>
      <c r="E17" s="3" t="s">
        <v>29</v>
      </c>
    </row>
    <row r="18" spans="1:5" ht="36" customHeight="1"/>
    <row r="19" spans="1:5" ht="36" customHeight="1"/>
    <row r="20" spans="1:5" ht="36" customHeight="1"/>
    <row r="21" spans="1:5" ht="36" customHeight="1"/>
    <row r="22" spans="1:5" ht="36" customHeight="1"/>
    <row r="23" spans="1:5" ht="36" customHeight="1"/>
    <row r="24" spans="1:5" ht="36" customHeight="1"/>
    <row r="25" spans="1:5" ht="36" customHeight="1"/>
    <row r="26" spans="1:5" ht="36" customHeight="1"/>
    <row r="27" spans="1:5" ht="36" customHeight="1"/>
    <row r="28" spans="1:5" ht="36" customHeight="1"/>
    <row r="29" spans="1:5" ht="36" customHeight="1"/>
    <row r="30" spans="1:5" ht="36" customHeight="1"/>
    <row r="31" spans="1:5" ht="36" customHeight="1"/>
    <row r="32" spans="1:5" ht="36" customHeight="1"/>
    <row r="33" ht="36" customHeight="1"/>
    <row r="34" ht="36" customHeight="1"/>
    <row r="35" ht="36" customHeight="1"/>
    <row r="36" ht="36" customHeight="1"/>
    <row r="37" ht="36" customHeight="1"/>
    <row r="38" ht="36" customHeight="1"/>
    <row r="39" ht="36" customHeight="1"/>
    <row r="40" ht="36" customHeight="1"/>
    <row r="41" ht="36" customHeight="1"/>
    <row r="42" ht="36" customHeight="1"/>
    <row r="43" ht="36" customHeight="1"/>
    <row r="44" ht="36" customHeight="1"/>
    <row r="45" ht="36" customHeight="1"/>
    <row r="46" ht="36" customHeight="1"/>
    <row r="47" ht="36" customHeight="1"/>
    <row r="48" ht="36" customHeight="1"/>
    <row r="49" ht="36" customHeight="1"/>
    <row r="50" ht="36" customHeight="1"/>
    <row r="51" ht="36" customHeight="1"/>
    <row r="52" ht="36" customHeight="1"/>
    <row r="53" ht="36" customHeight="1"/>
    <row r="54" ht="36" customHeight="1"/>
    <row r="55" ht="36" customHeight="1"/>
    <row r="56" ht="36" customHeight="1"/>
    <row r="57" ht="36" customHeight="1"/>
    <row r="58" ht="36" customHeight="1"/>
    <row r="59" ht="36" customHeight="1"/>
    <row r="60" ht="36" customHeight="1"/>
    <row r="61" ht="36" customHeight="1"/>
    <row r="62" ht="36" customHeight="1"/>
    <row r="63" ht="36" customHeight="1"/>
    <row r="64" ht="36" customHeight="1"/>
    <row r="65" ht="36" customHeight="1"/>
    <row r="66" ht="36" customHeight="1"/>
    <row r="67" ht="36" customHeight="1"/>
    <row r="68" ht="36" customHeight="1"/>
    <row r="69" ht="36" customHeight="1"/>
    <row r="70" ht="36" customHeight="1"/>
    <row r="71" ht="36" customHeight="1"/>
    <row r="72" ht="36" customHeight="1"/>
    <row r="73" ht="36" customHeight="1"/>
    <row r="74" ht="36" customHeight="1"/>
    <row r="75" ht="36" customHeight="1"/>
    <row r="76" ht="36" customHeight="1"/>
    <row r="77" ht="36" customHeight="1"/>
    <row r="78" ht="36" customHeight="1"/>
    <row r="79" ht="36" customHeight="1"/>
    <row r="80" ht="36" customHeight="1"/>
    <row r="81" ht="36" customHeight="1"/>
    <row r="82" ht="36" customHeight="1"/>
    <row r="83" ht="36" customHeight="1"/>
    <row r="84" ht="36" customHeight="1"/>
    <row r="85" ht="36" customHeight="1"/>
    <row r="86" ht="36" customHeight="1"/>
    <row r="87" ht="36" customHeight="1"/>
    <row r="88" ht="36" customHeight="1"/>
    <row r="89" ht="36" customHeight="1"/>
    <row r="90" ht="36" customHeight="1"/>
    <row r="91" ht="36" customHeight="1"/>
    <row r="92" ht="36" customHeight="1"/>
    <row r="93" ht="36" customHeight="1"/>
    <row r="94" ht="36" customHeight="1"/>
    <row r="95" ht="36" customHeight="1"/>
    <row r="96" ht="36" customHeight="1"/>
    <row r="97" ht="36" customHeight="1"/>
    <row r="98" ht="36" customHeight="1"/>
    <row r="99" ht="36" customHeight="1"/>
    <row r="100" ht="36" customHeight="1"/>
    <row r="101" ht="36" customHeight="1"/>
    <row r="102" ht="36" customHeight="1"/>
    <row r="103" ht="36" customHeight="1"/>
    <row r="104" ht="36" customHeight="1"/>
    <row r="105" ht="36" customHeight="1"/>
    <row r="106" ht="36" customHeight="1"/>
    <row r="107" ht="36" customHeight="1"/>
    <row r="108" ht="36" customHeight="1"/>
    <row r="109" ht="36" customHeight="1"/>
    <row r="110" ht="36" customHeight="1"/>
    <row r="111" ht="36" customHeight="1"/>
    <row r="112" ht="36" customHeight="1"/>
    <row r="113" ht="36" customHeight="1"/>
    <row r="114" ht="36" customHeight="1"/>
    <row r="115" ht="36" customHeight="1"/>
    <row r="116" ht="36" customHeight="1"/>
    <row r="117" ht="36" customHeight="1"/>
    <row r="118" ht="36" customHeight="1"/>
    <row r="119" ht="36" customHeight="1"/>
    <row r="120" ht="36" customHeight="1"/>
    <row r="121" ht="36" customHeight="1"/>
    <row r="122" ht="36" customHeight="1"/>
    <row r="123" ht="36" customHeight="1"/>
    <row r="124" ht="36" customHeight="1"/>
    <row r="125" ht="36" customHeight="1"/>
    <row r="126" ht="36" customHeight="1"/>
    <row r="127" ht="36" customHeight="1"/>
    <row r="128" ht="36" customHeight="1"/>
    <row r="129" ht="36" customHeight="1"/>
    <row r="130" ht="36" customHeight="1"/>
    <row r="131" ht="36" customHeight="1"/>
    <row r="132" ht="36" customHeight="1"/>
    <row r="133" ht="36" customHeight="1"/>
    <row r="134" ht="36" customHeight="1"/>
    <row r="135" ht="36" customHeight="1"/>
    <row r="136" ht="36" customHeight="1"/>
    <row r="137" ht="36" customHeight="1"/>
    <row r="138" ht="36" customHeight="1"/>
    <row r="139" ht="36" customHeight="1"/>
    <row r="140" ht="36" customHeight="1"/>
    <row r="141" ht="36" customHeight="1"/>
    <row r="142" ht="36" customHeight="1"/>
    <row r="143" ht="36" customHeight="1"/>
    <row r="144" ht="36" customHeight="1"/>
    <row r="145" ht="36" customHeight="1"/>
    <row r="146" ht="36" customHeight="1"/>
    <row r="147" ht="36" customHeight="1"/>
    <row r="148" ht="36" customHeight="1"/>
    <row r="149" ht="36" customHeight="1"/>
    <row r="150" ht="36" customHeight="1"/>
    <row r="151" ht="36" customHeight="1"/>
    <row r="152" ht="36" customHeight="1"/>
    <row r="153" ht="36" customHeight="1"/>
    <row r="154" ht="36" customHeight="1"/>
    <row r="155" ht="36" customHeight="1"/>
    <row r="156" ht="36" customHeight="1"/>
    <row r="157" ht="36" customHeight="1"/>
    <row r="158" ht="36" customHeight="1"/>
    <row r="159" ht="36" customHeight="1"/>
    <row r="160" ht="36" customHeight="1"/>
    <row r="161" ht="36" customHeight="1"/>
    <row r="162" ht="36" customHeight="1"/>
    <row r="163" ht="36" customHeight="1"/>
    <row r="164" ht="36" customHeight="1"/>
    <row r="165" ht="36" customHeight="1"/>
    <row r="166" ht="36" customHeight="1"/>
    <row r="167" ht="36" customHeight="1"/>
    <row r="168" ht="36" customHeight="1"/>
    <row r="169" ht="36" customHeight="1"/>
    <row r="170" ht="36" customHeight="1"/>
    <row r="171" ht="36" customHeight="1"/>
    <row r="172" ht="36" customHeight="1"/>
    <row r="173" ht="36" customHeight="1"/>
    <row r="174" ht="36" customHeight="1"/>
    <row r="175" ht="36" customHeight="1"/>
    <row r="176" ht="36" customHeight="1"/>
    <row r="177" ht="36" customHeight="1"/>
    <row r="178" ht="36" customHeight="1"/>
    <row r="179" ht="36" customHeight="1"/>
    <row r="180" ht="36" customHeight="1"/>
    <row r="181" ht="36" customHeight="1"/>
    <row r="182" ht="36" customHeight="1"/>
    <row r="183" ht="36" customHeight="1"/>
    <row r="184" ht="36" customHeight="1"/>
    <row r="185" ht="36" customHeight="1"/>
    <row r="186" ht="36" customHeight="1"/>
    <row r="187" ht="36" customHeight="1"/>
    <row r="188" ht="36" customHeight="1"/>
    <row r="189" ht="36" customHeight="1"/>
    <row r="190" ht="36" customHeight="1"/>
    <row r="191" ht="36" customHeight="1"/>
    <row r="192" ht="36" customHeight="1"/>
    <row r="193" ht="36" customHeight="1"/>
    <row r="194" ht="36" customHeight="1"/>
    <row r="195" ht="36" customHeight="1"/>
    <row r="196" ht="36" customHeight="1"/>
    <row r="197" ht="36" customHeight="1"/>
    <row r="198" ht="36" customHeight="1"/>
    <row r="199" ht="36" customHeight="1"/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9"/>
  <sheetViews>
    <sheetView zoomScaleNormal="100" workbookViewId="0">
      <pane ySplit="1" topLeftCell="A2" activePane="bottomLeft" state="frozen"/>
      <selection pane="bottomLeft" activeCell="H9" sqref="H9"/>
    </sheetView>
  </sheetViews>
  <sheetFormatPr defaultRowHeight="14.25"/>
  <cols>
    <col min="1" max="1" width="6" customWidth="1"/>
    <col min="2" max="2" width="22" customWidth="1"/>
    <col min="3" max="3" width="30" customWidth="1"/>
    <col min="4" max="4" width="42" customWidth="1"/>
    <col min="5" max="5" width="48" customWidth="1"/>
    <col min="6" max="7" width="12" customWidth="1"/>
    <col min="8" max="8" width="16" customWidth="1"/>
    <col min="9" max="9" width="12" customWidth="1"/>
    <col min="10" max="10" width="45" customWidth="1"/>
  </cols>
  <sheetData>
    <row r="1" spans="1:10" ht="30" customHeight="1">
      <c r="A1" s="1" t="s">
        <v>30</v>
      </c>
      <c r="B1" s="1" t="s">
        <v>31</v>
      </c>
      <c r="C1" s="1" t="s">
        <v>235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17</v>
      </c>
    </row>
    <row r="2" spans="1:10" ht="36" customHeight="1">
      <c r="A2" s="9">
        <v>1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  <c r="H2" s="2" t="s">
        <v>44</v>
      </c>
      <c r="I2" s="2" t="s">
        <v>46</v>
      </c>
      <c r="J2" s="2" t="s">
        <v>47</v>
      </c>
    </row>
    <row r="3" spans="1:10" ht="36" customHeight="1">
      <c r="A3" s="9">
        <v>2</v>
      </c>
      <c r="B3" s="2" t="s">
        <v>48</v>
      </c>
      <c r="C3" s="2" t="s">
        <v>49</v>
      </c>
      <c r="D3" s="2" t="s">
        <v>50</v>
      </c>
      <c r="E3" s="2" t="s">
        <v>51</v>
      </c>
      <c r="F3" s="2" t="s">
        <v>42</v>
      </c>
      <c r="G3" s="2" t="s">
        <v>43</v>
      </c>
      <c r="H3" s="2" t="s">
        <v>52</v>
      </c>
      <c r="I3" s="2" t="s">
        <v>46</v>
      </c>
      <c r="J3" s="2" t="s">
        <v>53</v>
      </c>
    </row>
    <row r="4" spans="1:10" ht="36" customHeight="1">
      <c r="A4" s="9">
        <v>3</v>
      </c>
      <c r="B4" s="2" t="s">
        <v>48</v>
      </c>
      <c r="C4" s="2" t="s">
        <v>54</v>
      </c>
      <c r="D4" s="2" t="s">
        <v>55</v>
      </c>
      <c r="E4" s="2" t="s">
        <v>56</v>
      </c>
      <c r="F4" s="2" t="s">
        <v>42</v>
      </c>
      <c r="G4" s="2" t="s">
        <v>43</v>
      </c>
      <c r="H4" s="2" t="s">
        <v>44</v>
      </c>
      <c r="I4" s="2" t="s">
        <v>46</v>
      </c>
      <c r="J4" s="2" t="s">
        <v>57</v>
      </c>
    </row>
    <row r="5" spans="1:10" ht="36" customHeight="1">
      <c r="A5" s="9">
        <v>4</v>
      </c>
      <c r="B5" s="2" t="s">
        <v>48</v>
      </c>
      <c r="C5" s="2" t="s">
        <v>54</v>
      </c>
      <c r="D5" s="2" t="s">
        <v>58</v>
      </c>
      <c r="E5" s="2" t="s">
        <v>313</v>
      </c>
      <c r="F5" s="2" t="s">
        <v>42</v>
      </c>
      <c r="G5" s="2" t="s">
        <v>59</v>
      </c>
      <c r="H5" s="2" t="s">
        <v>52</v>
      </c>
      <c r="I5" s="2" t="s">
        <v>46</v>
      </c>
      <c r="J5" s="2" t="s">
        <v>60</v>
      </c>
    </row>
    <row r="6" spans="1:10" ht="36" customHeight="1">
      <c r="A6" s="9">
        <v>5</v>
      </c>
      <c r="B6" s="2" t="s">
        <v>48</v>
      </c>
      <c r="C6" s="2" t="s">
        <v>54</v>
      </c>
      <c r="D6" s="2" t="s">
        <v>61</v>
      </c>
      <c r="E6" s="2" t="s">
        <v>62</v>
      </c>
      <c r="F6" s="2" t="s">
        <v>42</v>
      </c>
      <c r="G6" s="2" t="s">
        <v>59</v>
      </c>
      <c r="H6" s="2" t="s">
        <v>52</v>
      </c>
      <c r="I6" s="2" t="s">
        <v>46</v>
      </c>
      <c r="J6" s="2" t="s">
        <v>63</v>
      </c>
    </row>
    <row r="7" spans="1:10" ht="36" customHeight="1">
      <c r="A7" s="9">
        <v>6</v>
      </c>
      <c r="B7" s="2" t="s">
        <v>48</v>
      </c>
      <c r="C7" s="2" t="s">
        <v>54</v>
      </c>
      <c r="D7" s="2" t="s">
        <v>64</v>
      </c>
      <c r="E7" s="2" t="s">
        <v>65</v>
      </c>
      <c r="F7" s="2" t="s">
        <v>42</v>
      </c>
      <c r="G7" s="2" t="s">
        <v>59</v>
      </c>
      <c r="H7" s="2" t="s">
        <v>52</v>
      </c>
      <c r="I7" s="2" t="s">
        <v>46</v>
      </c>
      <c r="J7" s="2" t="s">
        <v>66</v>
      </c>
    </row>
    <row r="8" spans="1:10" ht="36" customHeight="1">
      <c r="A8" s="9">
        <v>7</v>
      </c>
      <c r="B8" s="2" t="s">
        <v>67</v>
      </c>
      <c r="C8" s="2" t="s">
        <v>68</v>
      </c>
      <c r="D8" s="2" t="s">
        <v>69</v>
      </c>
      <c r="E8" s="2" t="s">
        <v>70</v>
      </c>
      <c r="F8" s="2" t="s">
        <v>42</v>
      </c>
      <c r="G8" s="2" t="s">
        <v>43</v>
      </c>
      <c r="H8" s="2" t="s">
        <v>44</v>
      </c>
      <c r="I8" s="2" t="s">
        <v>46</v>
      </c>
      <c r="J8" s="2" t="s">
        <v>71</v>
      </c>
    </row>
    <row r="9" spans="1:10" ht="36" customHeight="1">
      <c r="A9" s="9">
        <v>8</v>
      </c>
      <c r="B9" s="2" t="s">
        <v>67</v>
      </c>
      <c r="C9" s="2" t="s">
        <v>68</v>
      </c>
      <c r="D9" s="2" t="s">
        <v>72</v>
      </c>
      <c r="E9" s="2" t="s">
        <v>73</v>
      </c>
      <c r="F9" s="2" t="s">
        <v>42</v>
      </c>
      <c r="G9" s="2" t="s">
        <v>43</v>
      </c>
      <c r="H9" s="2" t="s">
        <v>44</v>
      </c>
      <c r="I9" s="2" t="s">
        <v>46</v>
      </c>
      <c r="J9" s="2" t="s">
        <v>74</v>
      </c>
    </row>
    <row r="10" spans="1:10" ht="36" customHeight="1">
      <c r="A10" s="9">
        <v>9</v>
      </c>
      <c r="B10" s="2" t="s">
        <v>67</v>
      </c>
      <c r="C10" s="2" t="s">
        <v>68</v>
      </c>
      <c r="D10" s="2" t="s">
        <v>75</v>
      </c>
      <c r="E10" s="2" t="s">
        <v>76</v>
      </c>
      <c r="F10" s="2" t="s">
        <v>42</v>
      </c>
      <c r="G10" s="2" t="s">
        <v>43</v>
      </c>
      <c r="H10" s="2" t="s">
        <v>44</v>
      </c>
      <c r="I10" s="2" t="s">
        <v>46</v>
      </c>
      <c r="J10" s="2" t="s">
        <v>77</v>
      </c>
    </row>
    <row r="11" spans="1:10" ht="36" customHeight="1">
      <c r="A11" s="9">
        <v>10</v>
      </c>
      <c r="B11" s="2" t="s">
        <v>67</v>
      </c>
      <c r="C11" s="2" t="s">
        <v>68</v>
      </c>
      <c r="D11" s="2" t="s">
        <v>78</v>
      </c>
      <c r="E11" s="2" t="s">
        <v>79</v>
      </c>
      <c r="F11" s="2" t="s">
        <v>42</v>
      </c>
      <c r="G11" s="2" t="s">
        <v>43</v>
      </c>
      <c r="H11" s="2" t="s">
        <v>44</v>
      </c>
      <c r="I11" s="2" t="s">
        <v>46</v>
      </c>
      <c r="J11" s="2" t="s">
        <v>314</v>
      </c>
    </row>
    <row r="12" spans="1:10" ht="36" customHeight="1">
      <c r="A12" s="9">
        <v>11</v>
      </c>
      <c r="B12" s="2" t="s">
        <v>80</v>
      </c>
      <c r="C12" s="2" t="s">
        <v>81</v>
      </c>
      <c r="D12" s="2" t="s">
        <v>69</v>
      </c>
      <c r="E12" s="2" t="s">
        <v>82</v>
      </c>
      <c r="F12" s="2" t="s">
        <v>42</v>
      </c>
      <c r="G12" s="2" t="s">
        <v>43</v>
      </c>
      <c r="H12" s="2" t="s">
        <v>52</v>
      </c>
      <c r="I12" s="2" t="s">
        <v>46</v>
      </c>
      <c r="J12" s="2" t="s">
        <v>83</v>
      </c>
    </row>
    <row r="13" spans="1:10" ht="36" customHeight="1">
      <c r="A13" s="9">
        <v>12</v>
      </c>
      <c r="B13" s="2" t="s">
        <v>80</v>
      </c>
      <c r="C13" s="2" t="s">
        <v>81</v>
      </c>
      <c r="D13" s="2" t="s">
        <v>84</v>
      </c>
      <c r="E13" s="2" t="s">
        <v>85</v>
      </c>
      <c r="F13" s="2" t="s">
        <v>42</v>
      </c>
      <c r="G13" s="2" t="s">
        <v>43</v>
      </c>
      <c r="H13" s="2" t="s">
        <v>44</v>
      </c>
      <c r="I13" s="2" t="s">
        <v>46</v>
      </c>
      <c r="J13" s="2" t="s">
        <v>86</v>
      </c>
    </row>
    <row r="14" spans="1:10" ht="36" customHeight="1">
      <c r="A14" s="9">
        <v>13</v>
      </c>
      <c r="B14" s="2" t="s">
        <v>80</v>
      </c>
      <c r="C14" s="2" t="s">
        <v>81</v>
      </c>
      <c r="D14" s="2" t="s">
        <v>87</v>
      </c>
      <c r="E14" s="2" t="s">
        <v>88</v>
      </c>
      <c r="F14" s="2" t="s">
        <v>42</v>
      </c>
      <c r="G14" s="2" t="s">
        <v>43</v>
      </c>
      <c r="H14" s="2" t="s">
        <v>44</v>
      </c>
      <c r="I14" s="2" t="s">
        <v>46</v>
      </c>
      <c r="J14" s="2" t="s">
        <v>89</v>
      </c>
    </row>
    <row r="15" spans="1:10" ht="36" customHeight="1">
      <c r="A15" s="9">
        <v>14</v>
      </c>
      <c r="B15" s="2" t="s">
        <v>80</v>
      </c>
      <c r="C15" s="2" t="s">
        <v>81</v>
      </c>
      <c r="D15" s="2" t="s">
        <v>90</v>
      </c>
      <c r="E15" s="2" t="s">
        <v>91</v>
      </c>
      <c r="F15" s="2" t="s">
        <v>42</v>
      </c>
      <c r="G15" s="2" t="s">
        <v>59</v>
      </c>
      <c r="H15" s="2" t="s">
        <v>52</v>
      </c>
      <c r="I15" s="2" t="s">
        <v>46</v>
      </c>
      <c r="J15" s="2" t="s">
        <v>92</v>
      </c>
    </row>
    <row r="16" spans="1:10" ht="36" customHeight="1">
      <c r="A16" s="9">
        <v>15</v>
      </c>
      <c r="B16" s="2" t="s">
        <v>80</v>
      </c>
      <c r="C16" s="2" t="s">
        <v>81</v>
      </c>
      <c r="D16" s="2" t="s">
        <v>93</v>
      </c>
      <c r="E16" s="2" t="s">
        <v>94</v>
      </c>
      <c r="F16" s="2" t="s">
        <v>42</v>
      </c>
      <c r="G16" s="2" t="s">
        <v>43</v>
      </c>
      <c r="H16" s="2" t="s">
        <v>44</v>
      </c>
      <c r="I16" s="2" t="s">
        <v>46</v>
      </c>
      <c r="J16" s="2" t="s">
        <v>95</v>
      </c>
    </row>
    <row r="17" spans="1:10" ht="36" customHeight="1">
      <c r="A17" s="9">
        <v>16</v>
      </c>
      <c r="B17" s="2" t="s">
        <v>80</v>
      </c>
      <c r="C17" s="2" t="s">
        <v>81</v>
      </c>
      <c r="D17" s="2" t="s">
        <v>96</v>
      </c>
      <c r="E17" s="2" t="s">
        <v>97</v>
      </c>
      <c r="F17" s="2" t="s">
        <v>42</v>
      </c>
      <c r="G17" s="2" t="s">
        <v>59</v>
      </c>
      <c r="H17" s="2" t="s">
        <v>52</v>
      </c>
      <c r="I17" s="2" t="s">
        <v>46</v>
      </c>
      <c r="J17" s="2" t="s">
        <v>98</v>
      </c>
    </row>
    <row r="18" spans="1:10" ht="36" customHeight="1">
      <c r="A18" s="9">
        <v>17</v>
      </c>
      <c r="B18" s="2" t="s">
        <v>80</v>
      </c>
      <c r="C18" s="2" t="s">
        <v>81</v>
      </c>
      <c r="D18" s="2" t="s">
        <v>99</v>
      </c>
      <c r="E18" s="2" t="s">
        <v>100</v>
      </c>
      <c r="F18" s="2" t="s">
        <v>42</v>
      </c>
      <c r="G18" s="2" t="s">
        <v>43</v>
      </c>
      <c r="H18" s="2" t="s">
        <v>44</v>
      </c>
      <c r="I18" s="2" t="s">
        <v>46</v>
      </c>
      <c r="J18" s="2" t="s">
        <v>101</v>
      </c>
    </row>
    <row r="19" spans="1:10" ht="36" customHeight="1">
      <c r="A19" s="9">
        <v>18</v>
      </c>
      <c r="B19" s="2" t="s">
        <v>102</v>
      </c>
      <c r="C19" s="2" t="s">
        <v>103</v>
      </c>
      <c r="D19" s="2" t="s">
        <v>104</v>
      </c>
      <c r="E19" s="2" t="s">
        <v>105</v>
      </c>
      <c r="F19" s="2" t="s">
        <v>42</v>
      </c>
      <c r="G19" s="2" t="s">
        <v>43</v>
      </c>
      <c r="H19" s="2" t="s">
        <v>52</v>
      </c>
      <c r="I19" s="2" t="s">
        <v>46</v>
      </c>
      <c r="J19" s="2" t="s">
        <v>315</v>
      </c>
    </row>
    <row r="20" spans="1:10" ht="36" customHeight="1">
      <c r="A20" s="9">
        <v>19</v>
      </c>
      <c r="B20" s="2" t="s">
        <v>102</v>
      </c>
      <c r="C20" s="2" t="s">
        <v>103</v>
      </c>
      <c r="D20" s="2" t="s">
        <v>106</v>
      </c>
      <c r="E20" s="2" t="s">
        <v>107</v>
      </c>
      <c r="F20" s="2" t="s">
        <v>42</v>
      </c>
      <c r="G20" s="2" t="s">
        <v>43</v>
      </c>
      <c r="H20" s="2" t="s">
        <v>44</v>
      </c>
      <c r="I20" s="2" t="s">
        <v>46</v>
      </c>
      <c r="J20" s="2" t="s">
        <v>108</v>
      </c>
    </row>
    <row r="21" spans="1:10" ht="36" customHeight="1">
      <c r="A21" s="9">
        <v>20</v>
      </c>
      <c r="B21" s="2" t="s">
        <v>109</v>
      </c>
      <c r="C21" s="2" t="s">
        <v>110</v>
      </c>
      <c r="D21" s="2" t="s">
        <v>111</v>
      </c>
      <c r="E21" s="2" t="s">
        <v>112</v>
      </c>
      <c r="F21" s="2" t="s">
        <v>42</v>
      </c>
      <c r="G21" s="2" t="s">
        <v>43</v>
      </c>
      <c r="H21" s="2" t="s">
        <v>52</v>
      </c>
      <c r="I21" s="2" t="s">
        <v>46</v>
      </c>
      <c r="J21" s="2" t="s">
        <v>316</v>
      </c>
    </row>
    <row r="22" spans="1:10" ht="36" customHeight="1">
      <c r="A22" s="9">
        <v>21</v>
      </c>
      <c r="B22" s="2" t="s">
        <v>109</v>
      </c>
      <c r="C22" s="2" t="s">
        <v>110</v>
      </c>
      <c r="D22" s="2" t="s">
        <v>113</v>
      </c>
      <c r="E22" s="2" t="s">
        <v>114</v>
      </c>
      <c r="F22" s="2" t="s">
        <v>42</v>
      </c>
      <c r="G22" s="2" t="s">
        <v>43</v>
      </c>
      <c r="H22" s="2" t="s">
        <v>44</v>
      </c>
      <c r="I22" s="2" t="s">
        <v>46</v>
      </c>
      <c r="J22" s="2" t="s">
        <v>115</v>
      </c>
    </row>
    <row r="23" spans="1:10" ht="36" customHeight="1">
      <c r="A23" s="9">
        <v>22</v>
      </c>
      <c r="B23" s="2" t="s">
        <v>116</v>
      </c>
      <c r="C23" s="2" t="s">
        <v>117</v>
      </c>
      <c r="D23" s="2" t="s">
        <v>118</v>
      </c>
      <c r="E23" s="2" t="s">
        <v>119</v>
      </c>
      <c r="F23" s="2" t="s">
        <v>42</v>
      </c>
      <c r="G23" s="2" t="s">
        <v>43</v>
      </c>
      <c r="H23" s="2" t="s">
        <v>44</v>
      </c>
      <c r="I23" s="2" t="s">
        <v>46</v>
      </c>
      <c r="J23" s="2" t="s">
        <v>120</v>
      </c>
    </row>
    <row r="24" spans="1:10" ht="36" customHeight="1">
      <c r="A24" s="9">
        <v>23</v>
      </c>
      <c r="B24" s="2" t="s">
        <v>116</v>
      </c>
      <c r="C24" s="2" t="s">
        <v>117</v>
      </c>
      <c r="D24" s="2" t="s">
        <v>121</v>
      </c>
      <c r="E24" s="2" t="s">
        <v>122</v>
      </c>
      <c r="F24" s="2" t="s">
        <v>42</v>
      </c>
      <c r="G24" s="2" t="s">
        <v>43</v>
      </c>
      <c r="H24" s="2" t="s">
        <v>44</v>
      </c>
      <c r="I24" s="2" t="s">
        <v>46</v>
      </c>
      <c r="J24" s="2" t="s">
        <v>123</v>
      </c>
    </row>
    <row r="25" spans="1:10" ht="36" customHeight="1">
      <c r="A25" s="9">
        <v>24</v>
      </c>
      <c r="B25" s="2" t="s">
        <v>116</v>
      </c>
      <c r="C25" s="2" t="s">
        <v>117</v>
      </c>
      <c r="D25" s="2" t="s">
        <v>124</v>
      </c>
      <c r="E25" s="2" t="s">
        <v>125</v>
      </c>
      <c r="F25" s="2" t="s">
        <v>42</v>
      </c>
      <c r="G25" s="2" t="s">
        <v>59</v>
      </c>
      <c r="H25" s="2" t="s">
        <v>52</v>
      </c>
      <c r="I25" s="2" t="s">
        <v>46</v>
      </c>
      <c r="J25" s="2" t="s">
        <v>126</v>
      </c>
    </row>
    <row r="26" spans="1:10" ht="36" customHeight="1">
      <c r="A26" s="9">
        <v>25</v>
      </c>
      <c r="B26" s="2" t="s">
        <v>116</v>
      </c>
      <c r="C26" s="2" t="s">
        <v>117</v>
      </c>
      <c r="D26" s="2" t="s">
        <v>127</v>
      </c>
      <c r="E26" s="2" t="s">
        <v>128</v>
      </c>
      <c r="F26" s="2" t="s">
        <v>42</v>
      </c>
      <c r="G26" s="2" t="s">
        <v>59</v>
      </c>
      <c r="H26" s="2" t="s">
        <v>52</v>
      </c>
      <c r="I26" s="2" t="s">
        <v>46</v>
      </c>
      <c r="J26" s="2" t="s">
        <v>129</v>
      </c>
    </row>
    <row r="27" spans="1:10" ht="36" customHeight="1">
      <c r="A27" s="9">
        <v>26</v>
      </c>
      <c r="B27" s="2" t="s">
        <v>116</v>
      </c>
      <c r="C27" s="2" t="s">
        <v>117</v>
      </c>
      <c r="D27" s="2" t="s">
        <v>130</v>
      </c>
      <c r="E27" s="2" t="s">
        <v>131</v>
      </c>
      <c r="F27" s="2" t="s">
        <v>42</v>
      </c>
      <c r="G27" s="2" t="s">
        <v>43</v>
      </c>
      <c r="H27" s="2" t="s">
        <v>44</v>
      </c>
      <c r="I27" s="2" t="s">
        <v>46</v>
      </c>
      <c r="J27" s="2" t="s">
        <v>132</v>
      </c>
    </row>
    <row r="28" spans="1:10" ht="36" customHeight="1">
      <c r="A28" s="9">
        <v>27</v>
      </c>
      <c r="B28" s="2" t="s">
        <v>133</v>
      </c>
      <c r="C28" s="2" t="s">
        <v>134</v>
      </c>
      <c r="D28" s="2" t="s">
        <v>135</v>
      </c>
      <c r="E28" s="2" t="s">
        <v>136</v>
      </c>
      <c r="F28" s="2" t="s">
        <v>42</v>
      </c>
      <c r="G28" s="2" t="s">
        <v>59</v>
      </c>
      <c r="H28" s="2" t="s">
        <v>52</v>
      </c>
      <c r="I28" s="2" t="s">
        <v>46</v>
      </c>
      <c r="J28" s="2" t="s">
        <v>137</v>
      </c>
    </row>
    <row r="29" spans="1:10" ht="36" customHeight="1">
      <c r="A29" s="9">
        <v>28</v>
      </c>
      <c r="B29" s="2" t="s">
        <v>133</v>
      </c>
      <c r="C29" s="2" t="s">
        <v>134</v>
      </c>
      <c r="D29" s="2" t="s">
        <v>138</v>
      </c>
      <c r="E29" s="2" t="s">
        <v>139</v>
      </c>
      <c r="F29" s="2" t="s">
        <v>42</v>
      </c>
      <c r="G29" s="2" t="s">
        <v>59</v>
      </c>
      <c r="H29" s="2" t="s">
        <v>52</v>
      </c>
      <c r="I29" s="2" t="s">
        <v>46</v>
      </c>
      <c r="J29" s="2" t="s">
        <v>140</v>
      </c>
    </row>
    <row r="30" spans="1:10" ht="36" customHeight="1">
      <c r="A30" s="9">
        <v>29</v>
      </c>
      <c r="B30" s="2" t="s">
        <v>133</v>
      </c>
      <c r="C30" s="2" t="s">
        <v>134</v>
      </c>
      <c r="D30" s="2" t="s">
        <v>141</v>
      </c>
      <c r="E30" s="2" t="s">
        <v>142</v>
      </c>
      <c r="F30" s="2" t="s">
        <v>42</v>
      </c>
      <c r="G30" s="2" t="s">
        <v>59</v>
      </c>
      <c r="H30" s="2" t="s">
        <v>52</v>
      </c>
      <c r="I30" s="2" t="s">
        <v>46</v>
      </c>
      <c r="J30" s="2" t="s">
        <v>143</v>
      </c>
    </row>
    <row r="31" spans="1:10" ht="36" customHeight="1">
      <c r="A31" s="9">
        <v>30</v>
      </c>
      <c r="B31" s="2" t="s">
        <v>133</v>
      </c>
      <c r="C31" s="2" t="s">
        <v>134</v>
      </c>
      <c r="D31" s="2" t="s">
        <v>144</v>
      </c>
      <c r="E31" s="2" t="s">
        <v>145</v>
      </c>
      <c r="F31" s="2" t="s">
        <v>42</v>
      </c>
      <c r="G31" s="2" t="s">
        <v>59</v>
      </c>
      <c r="H31" s="2" t="s">
        <v>52</v>
      </c>
      <c r="I31" s="2" t="s">
        <v>46</v>
      </c>
      <c r="J31" s="2" t="s">
        <v>146</v>
      </c>
    </row>
    <row r="32" spans="1:10" ht="36" customHeight="1">
      <c r="A32" s="9">
        <v>31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s">
        <v>42</v>
      </c>
      <c r="G32" s="2" t="s">
        <v>59</v>
      </c>
      <c r="H32" s="2" t="s">
        <v>52</v>
      </c>
      <c r="I32" s="2" t="s">
        <v>46</v>
      </c>
      <c r="J32" s="2" t="s">
        <v>151</v>
      </c>
    </row>
    <row r="33" spans="1:10" ht="36" customHeight="1">
      <c r="A33" s="9">
        <v>32</v>
      </c>
      <c r="B33" s="2" t="s">
        <v>147</v>
      </c>
      <c r="C33" s="2" t="s">
        <v>148</v>
      </c>
      <c r="D33" s="2" t="s">
        <v>152</v>
      </c>
      <c r="E33" s="2" t="s">
        <v>153</v>
      </c>
      <c r="F33" s="2" t="s">
        <v>42</v>
      </c>
      <c r="G33" s="2" t="s">
        <v>59</v>
      </c>
      <c r="H33" s="2" t="s">
        <v>52</v>
      </c>
      <c r="I33" s="2" t="s">
        <v>46</v>
      </c>
      <c r="J33" s="2" t="s">
        <v>154</v>
      </c>
    </row>
    <row r="34" spans="1:10" ht="36" customHeight="1">
      <c r="A34" s="9">
        <v>33</v>
      </c>
      <c r="B34" s="2" t="s">
        <v>147</v>
      </c>
      <c r="C34" s="2" t="s">
        <v>148</v>
      </c>
      <c r="D34" s="2" t="s">
        <v>155</v>
      </c>
      <c r="E34" s="2" t="s">
        <v>156</v>
      </c>
      <c r="F34" s="2" t="s">
        <v>42</v>
      </c>
      <c r="G34" s="2" t="s">
        <v>59</v>
      </c>
      <c r="H34" s="2" t="s">
        <v>52</v>
      </c>
      <c r="I34" s="2" t="s">
        <v>46</v>
      </c>
      <c r="J34" s="2" t="s">
        <v>157</v>
      </c>
    </row>
    <row r="35" spans="1:10" ht="36" customHeight="1">
      <c r="A35" s="9">
        <v>34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s">
        <v>42</v>
      </c>
      <c r="G35" s="2" t="s">
        <v>59</v>
      </c>
      <c r="H35" s="2" t="s">
        <v>52</v>
      </c>
      <c r="I35" s="2" t="s">
        <v>46</v>
      </c>
      <c r="J35" s="2" t="s">
        <v>162</v>
      </c>
    </row>
    <row r="36" spans="1:10" ht="36" customHeight="1">
      <c r="A36" s="9">
        <v>35</v>
      </c>
      <c r="B36" s="2" t="s">
        <v>158</v>
      </c>
      <c r="C36" s="2" t="s">
        <v>159</v>
      </c>
      <c r="D36" s="2" t="s">
        <v>163</v>
      </c>
      <c r="E36" s="2" t="s">
        <v>164</v>
      </c>
      <c r="F36" s="2" t="s">
        <v>42</v>
      </c>
      <c r="G36" s="2" t="s">
        <v>59</v>
      </c>
      <c r="H36" s="2" t="s">
        <v>52</v>
      </c>
      <c r="I36" s="2" t="s">
        <v>46</v>
      </c>
      <c r="J36" s="2" t="s">
        <v>165</v>
      </c>
    </row>
    <row r="37" spans="1:10" ht="36" customHeight="1">
      <c r="A37" s="9">
        <v>36</v>
      </c>
      <c r="B37" s="2" t="s">
        <v>158</v>
      </c>
      <c r="C37" s="2" t="s">
        <v>159</v>
      </c>
      <c r="D37" s="2" t="s">
        <v>166</v>
      </c>
      <c r="E37" s="2" t="s">
        <v>167</v>
      </c>
      <c r="F37" s="2" t="s">
        <v>42</v>
      </c>
      <c r="G37" s="2" t="s">
        <v>59</v>
      </c>
      <c r="H37" s="2" t="s">
        <v>52</v>
      </c>
      <c r="I37" s="2" t="s">
        <v>46</v>
      </c>
      <c r="J37" s="2" t="s">
        <v>168</v>
      </c>
    </row>
    <row r="38" spans="1:10" ht="36" customHeight="1">
      <c r="A38" s="9">
        <v>37</v>
      </c>
      <c r="B38" s="2" t="s">
        <v>158</v>
      </c>
      <c r="C38" s="2" t="s">
        <v>159</v>
      </c>
      <c r="D38" s="2" t="s">
        <v>169</v>
      </c>
      <c r="E38" s="2" t="s">
        <v>170</v>
      </c>
      <c r="F38" s="2" t="s">
        <v>42</v>
      </c>
      <c r="G38" s="2" t="s">
        <v>59</v>
      </c>
      <c r="H38" s="2" t="s">
        <v>52</v>
      </c>
      <c r="I38" s="2" t="s">
        <v>46</v>
      </c>
      <c r="J38" s="2" t="s">
        <v>171</v>
      </c>
    </row>
    <row r="39" spans="1:10" ht="36" customHeight="1">
      <c r="A39" s="9">
        <v>38</v>
      </c>
      <c r="B39" s="2" t="s">
        <v>158</v>
      </c>
      <c r="C39" s="2" t="s">
        <v>159</v>
      </c>
      <c r="D39" s="2" t="s">
        <v>172</v>
      </c>
      <c r="E39" s="2" t="s">
        <v>173</v>
      </c>
      <c r="F39" s="2" t="s">
        <v>42</v>
      </c>
      <c r="G39" s="2" t="s">
        <v>59</v>
      </c>
      <c r="H39" s="2" t="s">
        <v>52</v>
      </c>
      <c r="I39" s="2" t="s">
        <v>46</v>
      </c>
      <c r="J39" s="2" t="s">
        <v>174</v>
      </c>
    </row>
    <row r="40" spans="1:10" ht="36" customHeight="1">
      <c r="A40" s="9">
        <v>40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s">
        <v>42</v>
      </c>
      <c r="G40" s="2" t="s">
        <v>43</v>
      </c>
      <c r="H40" s="2" t="s">
        <v>44</v>
      </c>
      <c r="I40" s="2" t="s">
        <v>46</v>
      </c>
      <c r="J40" s="2" t="s">
        <v>179</v>
      </c>
    </row>
    <row r="41" spans="1:10" ht="36" customHeight="1"/>
    <row r="42" spans="1:10" ht="36" customHeight="1"/>
    <row r="43" spans="1:10" ht="36" customHeight="1"/>
    <row r="44" spans="1:10" ht="36" customHeight="1"/>
    <row r="45" spans="1:10" ht="36" customHeight="1"/>
    <row r="46" spans="1:10" ht="36" customHeight="1"/>
    <row r="47" spans="1:10" ht="36" customHeight="1"/>
    <row r="48" spans="1:10" ht="36" customHeight="1"/>
    <row r="49" ht="36" customHeight="1"/>
    <row r="50" ht="36" customHeight="1"/>
    <row r="51" ht="36" customHeight="1"/>
    <row r="52" ht="36" customHeight="1"/>
    <row r="53" ht="36" customHeight="1"/>
    <row r="54" ht="36" customHeight="1"/>
    <row r="55" ht="36" customHeight="1"/>
    <row r="56" ht="36" customHeight="1"/>
    <row r="57" ht="36" customHeight="1"/>
    <row r="58" ht="36" customHeight="1"/>
    <row r="59" ht="36" customHeight="1"/>
    <row r="60" ht="36" customHeight="1"/>
    <row r="61" ht="36" customHeight="1"/>
    <row r="62" ht="36" customHeight="1"/>
    <row r="63" ht="36" customHeight="1"/>
    <row r="64" ht="36" customHeight="1"/>
    <row r="65" ht="36" customHeight="1"/>
    <row r="66" ht="36" customHeight="1"/>
    <row r="67" ht="36" customHeight="1"/>
    <row r="68" ht="36" customHeight="1"/>
    <row r="69" ht="36" customHeight="1"/>
    <row r="70" ht="36" customHeight="1"/>
    <row r="71" ht="36" customHeight="1"/>
    <row r="72" ht="36" customHeight="1"/>
    <row r="73" ht="36" customHeight="1"/>
    <row r="74" ht="36" customHeight="1"/>
    <row r="75" ht="36" customHeight="1"/>
    <row r="76" ht="36" customHeight="1"/>
    <row r="77" ht="36" customHeight="1"/>
    <row r="78" ht="36" customHeight="1"/>
    <row r="79" ht="36" customHeight="1"/>
    <row r="80" ht="36" customHeight="1"/>
    <row r="81" ht="36" customHeight="1"/>
    <row r="82" ht="36" customHeight="1"/>
    <row r="83" ht="36" customHeight="1"/>
    <row r="84" ht="36" customHeight="1"/>
    <row r="85" ht="36" customHeight="1"/>
    <row r="86" ht="36" customHeight="1"/>
    <row r="87" ht="36" customHeight="1"/>
    <row r="88" ht="36" customHeight="1"/>
    <row r="89" ht="36" customHeight="1"/>
    <row r="90" ht="36" customHeight="1"/>
    <row r="91" ht="36" customHeight="1"/>
    <row r="92" ht="36" customHeight="1"/>
    <row r="93" ht="36" customHeight="1"/>
    <row r="94" ht="36" customHeight="1"/>
    <row r="95" ht="36" customHeight="1"/>
    <row r="96" ht="36" customHeight="1"/>
    <row r="97" ht="36" customHeight="1"/>
    <row r="98" ht="36" customHeight="1"/>
    <row r="99" ht="36" customHeight="1"/>
    <row r="100" ht="36" customHeight="1"/>
    <row r="101" ht="36" customHeight="1"/>
    <row r="102" ht="36" customHeight="1"/>
    <row r="103" ht="36" customHeight="1"/>
    <row r="104" ht="36" customHeight="1"/>
    <row r="105" ht="36" customHeight="1"/>
    <row r="106" ht="36" customHeight="1"/>
    <row r="107" ht="36" customHeight="1"/>
    <row r="108" ht="36" customHeight="1"/>
    <row r="109" ht="36" customHeight="1"/>
    <row r="110" ht="36" customHeight="1"/>
    <row r="111" ht="36" customHeight="1"/>
    <row r="112" ht="36" customHeight="1"/>
    <row r="113" ht="36" customHeight="1"/>
    <row r="114" ht="36" customHeight="1"/>
    <row r="115" ht="36" customHeight="1"/>
    <row r="116" ht="36" customHeight="1"/>
    <row r="117" ht="36" customHeight="1"/>
    <row r="118" ht="36" customHeight="1"/>
    <row r="119" ht="36" customHeight="1"/>
    <row r="120" ht="36" customHeight="1"/>
    <row r="121" ht="36" customHeight="1"/>
    <row r="122" ht="36" customHeight="1"/>
    <row r="123" ht="36" customHeight="1"/>
    <row r="124" ht="36" customHeight="1"/>
    <row r="125" ht="36" customHeight="1"/>
    <row r="126" ht="36" customHeight="1"/>
    <row r="127" ht="36" customHeight="1"/>
    <row r="128" ht="36" customHeight="1"/>
    <row r="129" ht="36" customHeight="1"/>
    <row r="130" ht="36" customHeight="1"/>
    <row r="131" ht="36" customHeight="1"/>
    <row r="132" ht="36" customHeight="1"/>
    <row r="133" ht="36" customHeight="1"/>
    <row r="134" ht="36" customHeight="1"/>
    <row r="135" ht="36" customHeight="1"/>
    <row r="136" ht="36" customHeight="1"/>
    <row r="137" ht="36" customHeight="1"/>
    <row r="138" ht="36" customHeight="1"/>
    <row r="139" ht="36" customHeight="1"/>
    <row r="140" ht="36" customHeight="1"/>
    <row r="141" ht="36" customHeight="1"/>
    <row r="142" ht="36" customHeight="1"/>
    <row r="143" ht="36" customHeight="1"/>
    <row r="144" ht="36" customHeight="1"/>
    <row r="145" ht="36" customHeight="1"/>
    <row r="146" ht="36" customHeight="1"/>
    <row r="147" ht="36" customHeight="1"/>
    <row r="148" ht="36" customHeight="1"/>
    <row r="149" ht="36" customHeight="1"/>
    <row r="150" ht="36" customHeight="1"/>
    <row r="151" ht="36" customHeight="1"/>
    <row r="152" ht="36" customHeight="1"/>
    <row r="153" ht="36" customHeight="1"/>
    <row r="154" ht="36" customHeight="1"/>
    <row r="155" ht="36" customHeight="1"/>
    <row r="156" ht="36" customHeight="1"/>
    <row r="157" ht="36" customHeight="1"/>
    <row r="158" ht="36" customHeight="1"/>
    <row r="159" ht="36" customHeight="1"/>
    <row r="160" ht="36" customHeight="1"/>
    <row r="161" ht="36" customHeight="1"/>
    <row r="162" ht="36" customHeight="1"/>
    <row r="163" ht="36" customHeight="1"/>
    <row r="164" ht="36" customHeight="1"/>
    <row r="165" ht="36" customHeight="1"/>
    <row r="166" ht="36" customHeight="1"/>
    <row r="167" ht="36" customHeight="1"/>
    <row r="168" ht="36" customHeight="1"/>
    <row r="169" ht="36" customHeight="1"/>
    <row r="170" ht="36" customHeight="1"/>
    <row r="171" ht="36" customHeight="1"/>
    <row r="172" ht="36" customHeight="1"/>
    <row r="173" ht="36" customHeight="1"/>
    <row r="174" ht="36" customHeight="1"/>
    <row r="175" ht="36" customHeight="1"/>
    <row r="176" ht="36" customHeight="1"/>
    <row r="177" ht="36" customHeight="1"/>
    <row r="178" ht="36" customHeight="1"/>
    <row r="179" ht="36" customHeight="1"/>
    <row r="180" ht="36" customHeight="1"/>
    <row r="181" ht="36" customHeight="1"/>
    <row r="182" ht="36" customHeight="1"/>
    <row r="183" ht="36" customHeight="1"/>
    <row r="184" ht="36" customHeight="1"/>
    <row r="185" ht="36" customHeight="1"/>
    <row r="186" ht="36" customHeight="1"/>
    <row r="187" ht="36" customHeight="1"/>
    <row r="188" ht="36" customHeight="1"/>
    <row r="189" ht="36" customHeight="1"/>
    <row r="190" ht="36" customHeight="1"/>
    <row r="191" ht="36" customHeight="1"/>
    <row r="192" ht="36" customHeight="1"/>
    <row r="193" ht="36" customHeight="1"/>
    <row r="194" ht="36" customHeight="1"/>
    <row r="195" ht="36" customHeight="1"/>
    <row r="196" ht="36" customHeight="1"/>
    <row r="197" ht="36" customHeight="1"/>
    <row r="198" ht="36" customHeight="1"/>
    <row r="199" ht="36" customHeight="1"/>
  </sheetData>
  <conditionalFormatting sqref="F2:F199">
    <cfRule type="expression" dxfId="2" priority="1">
      <formula>F2="Done"</formula>
    </cfRule>
  </conditionalFormatting>
  <conditionalFormatting sqref="H2:H199">
    <cfRule type="expression" dxfId="1" priority="2">
      <formula>H2="Vượt yêu cầu"</formula>
    </cfRule>
  </conditionalFormatting>
  <conditionalFormatting sqref="I2:I199">
    <cfRule type="expression" dxfId="0" priority="3">
      <formula>I2="Có"</formula>
    </cfRule>
  </conditionalFormatting>
  <dataValidations count="3">
    <dataValidation type="list" sqref="F2:F199" xr:uid="{00000000-0002-0000-0100-000000000000}">
      <formula1>"Done,In Progress,Not Started,Need Review"</formula1>
    </dataValidation>
    <dataValidation type="list" sqref="H2:H199" xr:uid="{00000000-0002-0000-0100-000001000000}">
      <formula1>"Yêu cầu,Vượt yêu cầu"</formula1>
    </dataValidation>
    <dataValidation type="list" sqref="I2:I199" xr:uid="{00000000-0002-0000-0100-000002000000}">
      <formula1>"Có,Không,Một phần"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0"/>
  <sheetViews>
    <sheetView tabSelected="1" workbookViewId="0">
      <selection activeCell="C14" sqref="C14"/>
    </sheetView>
  </sheetViews>
  <sheetFormatPr defaultRowHeight="14.25"/>
  <cols>
    <col min="1" max="1" width="6" customWidth="1"/>
    <col min="2" max="2" width="30" customWidth="1"/>
    <col min="3" max="3" width="55" customWidth="1"/>
    <col min="4" max="4" width="44" customWidth="1"/>
    <col min="5" max="5" width="50" customWidth="1"/>
  </cols>
  <sheetData>
    <row r="1" spans="1:5" ht="30" customHeight="1">
      <c r="A1" s="1" t="s">
        <v>30</v>
      </c>
      <c r="B1" s="1" t="s">
        <v>317</v>
      </c>
      <c r="C1" s="1" t="s">
        <v>180</v>
      </c>
      <c r="D1" s="1" t="s">
        <v>181</v>
      </c>
      <c r="E1" s="1" t="s">
        <v>318</v>
      </c>
    </row>
    <row r="2" spans="1:5" ht="36" customHeight="1">
      <c r="A2" s="2">
        <v>1</v>
      </c>
      <c r="B2" s="2" t="s">
        <v>182</v>
      </c>
      <c r="C2" s="2" t="s">
        <v>183</v>
      </c>
      <c r="D2" s="2" t="s">
        <v>184</v>
      </c>
      <c r="E2" s="2" t="s">
        <v>185</v>
      </c>
    </row>
    <row r="3" spans="1:5" ht="36" customHeight="1">
      <c r="A3" s="2">
        <v>2</v>
      </c>
      <c r="B3" s="2" t="s">
        <v>186</v>
      </c>
      <c r="C3" s="2" t="s">
        <v>187</v>
      </c>
      <c r="D3" s="2" t="s">
        <v>62</v>
      </c>
      <c r="E3" s="2" t="s">
        <v>188</v>
      </c>
    </row>
    <row r="4" spans="1:5" ht="36" customHeight="1">
      <c r="A4" s="2">
        <v>3</v>
      </c>
      <c r="B4" s="2" t="s">
        <v>189</v>
      </c>
      <c r="C4" s="2" t="s">
        <v>190</v>
      </c>
      <c r="D4" s="2" t="s">
        <v>65</v>
      </c>
      <c r="E4" s="2" t="s">
        <v>191</v>
      </c>
    </row>
    <row r="5" spans="1:5" ht="36" customHeight="1">
      <c r="A5" s="2">
        <v>4</v>
      </c>
      <c r="B5" s="2" t="s">
        <v>192</v>
      </c>
      <c r="C5" s="2" t="s">
        <v>193</v>
      </c>
      <c r="D5" s="2" t="s">
        <v>54</v>
      </c>
      <c r="E5" s="2" t="s">
        <v>194</v>
      </c>
    </row>
    <row r="6" spans="1:5" ht="36" customHeight="1">
      <c r="A6" s="2">
        <v>5</v>
      </c>
      <c r="B6" s="2" t="s">
        <v>195</v>
      </c>
      <c r="C6" s="2" t="s">
        <v>196</v>
      </c>
      <c r="D6" s="2" t="s">
        <v>197</v>
      </c>
      <c r="E6" s="2" t="s">
        <v>198</v>
      </c>
    </row>
    <row r="7" spans="1:5" ht="36" customHeight="1">
      <c r="A7" s="2">
        <v>6</v>
      </c>
      <c r="B7" s="2" t="s">
        <v>199</v>
      </c>
      <c r="C7" s="2" t="s">
        <v>200</v>
      </c>
      <c r="D7" s="2" t="s">
        <v>117</v>
      </c>
      <c r="E7" s="2" t="s">
        <v>201</v>
      </c>
    </row>
    <row r="8" spans="1:5" ht="36" customHeight="1">
      <c r="A8" s="2">
        <v>7</v>
      </c>
      <c r="B8" s="2" t="s">
        <v>202</v>
      </c>
      <c r="C8" s="2" t="s">
        <v>203</v>
      </c>
      <c r="D8" s="2" t="s">
        <v>204</v>
      </c>
      <c r="E8" s="2" t="s">
        <v>205</v>
      </c>
    </row>
    <row r="9" spans="1:5" ht="36" customHeight="1">
      <c r="A9" s="2">
        <v>8</v>
      </c>
      <c r="B9" s="2" t="s">
        <v>206</v>
      </c>
      <c r="C9" s="2" t="s">
        <v>207</v>
      </c>
      <c r="D9" s="2" t="s">
        <v>134</v>
      </c>
      <c r="E9" s="2" t="s">
        <v>208</v>
      </c>
    </row>
    <row r="10" spans="1:5" ht="36" customHeight="1">
      <c r="A10" s="2">
        <v>9</v>
      </c>
      <c r="B10" s="2" t="s">
        <v>209</v>
      </c>
      <c r="C10" s="2" t="s">
        <v>210</v>
      </c>
      <c r="D10" s="2" t="s">
        <v>148</v>
      </c>
      <c r="E10" s="2" t="s">
        <v>211</v>
      </c>
    </row>
    <row r="11" spans="1:5" ht="36" customHeight="1">
      <c r="A11" s="2">
        <v>10</v>
      </c>
      <c r="B11" s="2" t="s">
        <v>212</v>
      </c>
      <c r="C11" s="2" t="s">
        <v>213</v>
      </c>
      <c r="D11" s="2" t="s">
        <v>159</v>
      </c>
      <c r="E11" s="2" t="s">
        <v>214</v>
      </c>
    </row>
    <row r="12" spans="1:5" ht="36" customHeight="1">
      <c r="A12" s="2">
        <v>11</v>
      </c>
      <c r="B12" s="2" t="s">
        <v>215</v>
      </c>
      <c r="C12" s="2" t="s">
        <v>216</v>
      </c>
      <c r="D12" s="2" t="s">
        <v>159</v>
      </c>
      <c r="E12" s="2" t="s">
        <v>217</v>
      </c>
    </row>
    <row r="13" spans="1:5" ht="36" customHeight="1"/>
    <row r="14" spans="1:5" ht="36" customHeight="1"/>
    <row r="15" spans="1:5" ht="36" customHeight="1"/>
    <row r="16" spans="1:5" ht="36" customHeight="1"/>
    <row r="17" ht="36" customHeight="1"/>
    <row r="18" ht="36" customHeight="1"/>
    <row r="19" ht="36" customHeight="1"/>
    <row r="20" ht="36" customHeight="1"/>
    <row r="21" ht="36" customHeight="1"/>
    <row r="22" ht="36" customHeight="1"/>
    <row r="23" ht="36" customHeight="1"/>
    <row r="24" ht="36" customHeight="1"/>
    <row r="25" ht="36" customHeight="1"/>
    <row r="26" ht="36" customHeight="1"/>
    <row r="27" ht="36" customHeight="1"/>
    <row r="28" ht="36" customHeight="1"/>
    <row r="29" ht="36" customHeight="1"/>
    <row r="30" ht="36" customHeight="1"/>
    <row r="31" ht="36" customHeight="1"/>
    <row r="32" ht="36" customHeight="1"/>
    <row r="33" ht="36" customHeight="1"/>
    <row r="34" ht="36" customHeight="1"/>
    <row r="35" ht="36" customHeight="1"/>
    <row r="36" ht="36" customHeight="1"/>
    <row r="37" ht="36" customHeight="1"/>
    <row r="38" ht="36" customHeight="1"/>
    <row r="39" ht="36" customHeight="1"/>
    <row r="40" ht="36" customHeight="1"/>
    <row r="41" ht="36" customHeight="1"/>
    <row r="42" ht="36" customHeight="1"/>
    <row r="43" ht="36" customHeight="1"/>
    <row r="44" ht="36" customHeight="1"/>
    <row r="45" ht="36" customHeight="1"/>
    <row r="46" ht="36" customHeight="1"/>
    <row r="47" ht="36" customHeight="1"/>
    <row r="48" ht="36" customHeight="1"/>
    <row r="49" ht="36" customHeight="1"/>
    <row r="50" ht="36" customHeight="1"/>
    <row r="51" ht="36" customHeight="1"/>
    <row r="52" ht="36" customHeight="1"/>
    <row r="53" ht="36" customHeight="1"/>
    <row r="54" ht="36" customHeight="1"/>
    <row r="55" ht="36" customHeight="1"/>
    <row r="56" ht="36" customHeight="1"/>
    <row r="57" ht="36" customHeight="1"/>
    <row r="58" ht="36" customHeight="1"/>
    <row r="59" ht="36" customHeight="1"/>
    <row r="60" ht="36" customHeight="1"/>
    <row r="61" ht="36" customHeight="1"/>
    <row r="62" ht="36" customHeight="1"/>
    <row r="63" ht="36" customHeight="1"/>
    <row r="64" ht="36" customHeight="1"/>
    <row r="65" ht="36" customHeight="1"/>
    <row r="66" ht="36" customHeight="1"/>
    <row r="67" ht="36" customHeight="1"/>
    <row r="68" ht="36" customHeight="1"/>
    <row r="69" ht="36" customHeight="1"/>
    <row r="70" ht="36" customHeight="1"/>
    <row r="71" ht="36" customHeight="1"/>
    <row r="72" ht="36" customHeight="1"/>
    <row r="73" ht="36" customHeight="1"/>
    <row r="74" ht="36" customHeight="1"/>
    <row r="75" ht="36" customHeight="1"/>
    <row r="76" ht="36" customHeight="1"/>
    <row r="77" ht="36" customHeight="1"/>
    <row r="78" ht="36" customHeight="1"/>
    <row r="79" ht="36" customHeight="1"/>
    <row r="80" ht="36" customHeight="1"/>
    <row r="81" ht="36" customHeight="1"/>
    <row r="82" ht="36" customHeight="1"/>
    <row r="83" ht="36" customHeight="1"/>
    <row r="84" ht="36" customHeight="1"/>
    <row r="85" ht="36" customHeight="1"/>
    <row r="86" ht="36" customHeight="1"/>
    <row r="87" ht="36" customHeight="1"/>
    <row r="88" ht="36" customHeight="1"/>
    <row r="89" ht="36" customHeight="1"/>
    <row r="90" ht="36" customHeight="1"/>
    <row r="91" ht="36" customHeight="1"/>
    <row r="92" ht="36" customHeight="1"/>
    <row r="93" ht="36" customHeight="1"/>
    <row r="94" ht="36" customHeight="1"/>
    <row r="95" ht="36" customHeight="1"/>
    <row r="96" ht="36" customHeight="1"/>
    <row r="97" ht="36" customHeight="1"/>
    <row r="98" ht="36" customHeight="1"/>
    <row r="99" ht="36" customHeight="1"/>
    <row r="100" ht="36" customHeight="1"/>
    <row r="101" ht="36" customHeight="1"/>
    <row r="102" ht="36" customHeight="1"/>
    <row r="103" ht="36" customHeight="1"/>
    <row r="104" ht="36" customHeight="1"/>
    <row r="105" ht="36" customHeight="1"/>
    <row r="106" ht="36" customHeight="1"/>
    <row r="107" ht="36" customHeight="1"/>
    <row r="108" ht="36" customHeight="1"/>
    <row r="109" ht="36" customHeight="1"/>
    <row r="110" ht="36" customHeight="1"/>
    <row r="111" ht="36" customHeight="1"/>
    <row r="112" ht="36" customHeight="1"/>
    <row r="113" ht="36" customHeight="1"/>
    <row r="114" ht="36" customHeight="1"/>
    <row r="115" ht="36" customHeight="1"/>
    <row r="116" ht="36" customHeight="1"/>
    <row r="117" ht="36" customHeight="1"/>
    <row r="118" ht="36" customHeight="1"/>
    <row r="119" ht="36" customHeight="1"/>
    <row r="120" ht="36" customHeight="1"/>
    <row r="121" ht="36" customHeight="1"/>
    <row r="122" ht="36" customHeight="1"/>
    <row r="123" ht="36" customHeight="1"/>
    <row r="124" ht="36" customHeight="1"/>
    <row r="125" ht="36" customHeight="1"/>
    <row r="126" ht="36" customHeight="1"/>
    <row r="127" ht="36" customHeight="1"/>
    <row r="128" ht="36" customHeight="1"/>
    <row r="129" ht="36" customHeight="1"/>
    <row r="130" ht="36" customHeight="1"/>
    <row r="131" ht="36" customHeight="1"/>
    <row r="132" ht="36" customHeight="1"/>
    <row r="133" ht="36" customHeight="1"/>
    <row r="134" ht="36" customHeight="1"/>
    <row r="135" ht="36" customHeight="1"/>
    <row r="136" ht="36" customHeight="1"/>
    <row r="137" ht="36" customHeight="1"/>
    <row r="138" ht="36" customHeight="1"/>
    <row r="139" ht="36" customHeight="1"/>
    <row r="140" ht="36" customHeight="1"/>
    <row r="141" ht="36" customHeight="1"/>
    <row r="142" ht="36" customHeight="1"/>
    <row r="143" ht="36" customHeight="1"/>
    <row r="144" ht="36" customHeight="1"/>
    <row r="145" ht="36" customHeight="1"/>
    <row r="146" ht="36" customHeight="1"/>
    <row r="147" ht="36" customHeight="1"/>
    <row r="148" ht="36" customHeight="1"/>
    <row r="149" ht="36" customHeight="1"/>
    <row r="150" ht="36" customHeight="1"/>
    <row r="151" ht="36" customHeight="1"/>
    <row r="152" ht="36" customHeight="1"/>
    <row r="153" ht="36" customHeight="1"/>
    <row r="154" ht="36" customHeight="1"/>
    <row r="155" ht="36" customHeight="1"/>
    <row r="156" ht="36" customHeight="1"/>
    <row r="157" ht="36" customHeight="1"/>
    <row r="158" ht="36" customHeight="1"/>
    <row r="159" ht="36" customHeight="1"/>
    <row r="160" ht="36" customHeight="1"/>
    <row r="161" ht="36" customHeight="1"/>
    <row r="162" ht="36" customHeight="1"/>
    <row r="163" ht="36" customHeight="1"/>
    <row r="164" ht="36" customHeight="1"/>
    <row r="165" ht="36" customHeight="1"/>
    <row r="166" ht="36" customHeight="1"/>
    <row r="167" ht="36" customHeight="1"/>
    <row r="168" ht="36" customHeight="1"/>
    <row r="169" ht="36" customHeight="1"/>
    <row r="170" ht="36" customHeight="1"/>
    <row r="171" ht="36" customHeight="1"/>
    <row r="172" ht="36" customHeight="1"/>
    <row r="173" ht="36" customHeight="1"/>
    <row r="174" ht="36" customHeight="1"/>
    <row r="175" ht="36" customHeight="1"/>
    <row r="176" ht="36" customHeight="1"/>
    <row r="177" ht="36" customHeight="1"/>
    <row r="178" ht="36" customHeight="1"/>
    <row r="179" ht="36" customHeight="1"/>
    <row r="180" ht="36" customHeight="1"/>
    <row r="181" ht="36" customHeight="1"/>
    <row r="182" ht="36" customHeight="1"/>
    <row r="183" ht="36" customHeight="1"/>
    <row r="184" ht="36" customHeight="1"/>
    <row r="185" ht="36" customHeight="1"/>
    <row r="186" ht="36" customHeight="1"/>
    <row r="187" ht="36" customHeight="1"/>
    <row r="188" ht="36" customHeight="1"/>
    <row r="189" ht="36" customHeight="1"/>
    <row r="190" ht="36" customHeight="1"/>
    <row r="191" ht="36" customHeight="1"/>
    <row r="192" ht="36" customHeight="1"/>
    <row r="193" ht="36" customHeight="1"/>
    <row r="194" ht="36" customHeight="1"/>
    <row r="195" ht="36" customHeight="1"/>
    <row r="196" ht="36" customHeight="1"/>
    <row r="197" ht="36" customHeight="1"/>
    <row r="198" ht="36" customHeight="1"/>
    <row r="199" ht="36" customHeight="1"/>
    <row r="200" ht="36" customHeight="1"/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6"/>
  <sheetViews>
    <sheetView zoomScaleNormal="100" workbookViewId="0">
      <selection activeCell="D10" sqref="D10"/>
    </sheetView>
  </sheetViews>
  <sheetFormatPr defaultRowHeight="14.25"/>
  <cols>
    <col min="1" max="1" width="24" customWidth="1"/>
    <col min="2" max="2" width="52" customWidth="1"/>
    <col min="3" max="3" width="58" customWidth="1"/>
    <col min="4" max="4" width="46" customWidth="1"/>
  </cols>
  <sheetData>
    <row r="1" spans="1:4" ht="30" customHeight="1">
      <c r="A1" s="1" t="s">
        <v>218</v>
      </c>
      <c r="B1" s="1" t="s">
        <v>37</v>
      </c>
      <c r="C1" s="1" t="s">
        <v>319</v>
      </c>
      <c r="D1" s="1" t="s">
        <v>318</v>
      </c>
    </row>
    <row r="2" spans="1:4" ht="36" customHeight="1">
      <c r="A2" s="2" t="s">
        <v>220</v>
      </c>
      <c r="B2" s="2" t="s">
        <v>221</v>
      </c>
      <c r="C2" s="2" t="s">
        <v>222</v>
      </c>
      <c r="D2" s="2" t="s">
        <v>330</v>
      </c>
    </row>
    <row r="3" spans="1:4" ht="36" customHeight="1">
      <c r="A3" s="2" t="s">
        <v>223</v>
      </c>
      <c r="B3" s="2" t="s">
        <v>224</v>
      </c>
      <c r="C3" s="2" t="s">
        <v>320</v>
      </c>
      <c r="D3" s="2" t="s">
        <v>321</v>
      </c>
    </row>
    <row r="4" spans="1:4" ht="36" customHeight="1">
      <c r="A4" s="2" t="s">
        <v>225</v>
      </c>
      <c r="B4" s="2" t="s">
        <v>322</v>
      </c>
      <c r="C4" s="2" t="s">
        <v>226</v>
      </c>
      <c r="D4" s="2" t="s">
        <v>323</v>
      </c>
    </row>
    <row r="5" spans="1:4" ht="36" customHeight="1">
      <c r="A5" s="2" t="s">
        <v>227</v>
      </c>
      <c r="B5" s="2" t="s">
        <v>324</v>
      </c>
      <c r="C5" s="2" t="s">
        <v>228</v>
      </c>
      <c r="D5" s="2" t="s">
        <v>229</v>
      </c>
    </row>
    <row r="6" spans="1:4" ht="36" customHeight="1">
      <c r="A6" s="2" t="s">
        <v>230</v>
      </c>
      <c r="B6" s="2" t="s">
        <v>325</v>
      </c>
      <c r="C6" s="2" t="s">
        <v>231</v>
      </c>
      <c r="D6" s="2" t="s">
        <v>328</v>
      </c>
    </row>
    <row r="7" spans="1:4" ht="36" customHeight="1">
      <c r="A7" s="2" t="s">
        <v>232</v>
      </c>
      <c r="B7" s="2" t="s">
        <v>326</v>
      </c>
      <c r="C7" s="2" t="s">
        <v>233</v>
      </c>
      <c r="D7" s="2" t="s">
        <v>327</v>
      </c>
    </row>
    <row r="8" spans="1:4" ht="36" customHeight="1"/>
    <row r="9" spans="1:4" ht="36" customHeight="1"/>
    <row r="10" spans="1:4" ht="36" customHeight="1"/>
    <row r="11" spans="1:4" ht="36" customHeight="1"/>
    <row r="12" spans="1:4" ht="36" customHeight="1"/>
    <row r="13" spans="1:4" ht="36" customHeight="1"/>
    <row r="14" spans="1:4" ht="36" customHeight="1"/>
    <row r="15" spans="1:4" ht="36" customHeight="1"/>
    <row r="16" spans="1:4" ht="36" customHeight="1"/>
    <row r="17" ht="36" customHeight="1"/>
    <row r="18" ht="36" customHeight="1"/>
    <row r="19" ht="36" customHeight="1"/>
    <row r="20" ht="36" customHeight="1"/>
    <row r="21" ht="36" customHeight="1"/>
    <row r="22" ht="36" customHeight="1"/>
    <row r="23" ht="36" customHeight="1"/>
    <row r="24" ht="36" customHeight="1"/>
    <row r="25" ht="36" customHeight="1"/>
    <row r="26" ht="36" customHeight="1"/>
    <row r="27" ht="36" customHeight="1"/>
    <row r="28" ht="36" customHeight="1"/>
    <row r="29" ht="36" customHeight="1"/>
    <row r="30" ht="36" customHeight="1"/>
    <row r="31" ht="36" customHeight="1"/>
    <row r="32" ht="36" customHeight="1"/>
    <row r="33" ht="36" customHeight="1"/>
    <row r="34" ht="36" customHeight="1"/>
    <row r="35" ht="36" customHeight="1"/>
    <row r="36" ht="36" customHeight="1"/>
    <row r="37" ht="36" customHeight="1"/>
    <row r="38" ht="36" customHeight="1"/>
    <row r="39" ht="36" customHeight="1"/>
    <row r="40" ht="36" customHeight="1"/>
    <row r="41" ht="36" customHeight="1"/>
    <row r="42" ht="36" customHeight="1"/>
    <row r="43" ht="36" customHeight="1"/>
    <row r="44" ht="36" customHeight="1"/>
    <row r="45" ht="36" customHeight="1"/>
    <row r="46" ht="36" customHeight="1"/>
    <row r="47" ht="36" customHeight="1"/>
    <row r="48" ht="36" customHeight="1"/>
    <row r="49" ht="36" customHeight="1"/>
    <row r="50" ht="36" customHeight="1"/>
    <row r="51" ht="36" customHeight="1"/>
    <row r="52" ht="36" customHeight="1"/>
    <row r="53" ht="36" customHeight="1"/>
    <row r="54" ht="36" customHeight="1"/>
    <row r="55" ht="36" customHeight="1"/>
    <row r="56" ht="36" customHeight="1"/>
    <row r="57" ht="36" customHeight="1"/>
    <row r="58" ht="36" customHeight="1"/>
    <row r="59" ht="36" customHeight="1"/>
    <row r="60" ht="36" customHeight="1"/>
    <row r="61" ht="36" customHeight="1"/>
    <row r="62" ht="36" customHeight="1"/>
    <row r="63" ht="36" customHeight="1"/>
    <row r="64" ht="36" customHeight="1"/>
    <row r="65" ht="36" customHeight="1"/>
    <row r="66" ht="36" customHeight="1"/>
    <row r="67" ht="36" customHeight="1"/>
    <row r="68" ht="36" customHeight="1"/>
    <row r="69" ht="36" customHeight="1"/>
    <row r="70" ht="36" customHeight="1"/>
    <row r="71" ht="36" customHeight="1"/>
    <row r="72" ht="36" customHeight="1"/>
    <row r="73" ht="36" customHeight="1"/>
    <row r="74" ht="36" customHeight="1"/>
    <row r="75" ht="36" customHeight="1"/>
    <row r="76" ht="36" customHeight="1"/>
    <row r="77" ht="36" customHeight="1"/>
    <row r="78" ht="36" customHeight="1"/>
    <row r="79" ht="36" customHeight="1"/>
    <row r="80" ht="36" customHeight="1"/>
    <row r="81" ht="36" customHeight="1"/>
    <row r="82" ht="36" customHeight="1"/>
    <row r="83" ht="36" customHeight="1"/>
    <row r="84" ht="36" customHeight="1"/>
    <row r="85" ht="36" customHeight="1"/>
    <row r="86" ht="36" customHeight="1"/>
    <row r="87" ht="36" customHeight="1"/>
    <row r="88" ht="36" customHeight="1"/>
    <row r="89" ht="36" customHeight="1"/>
    <row r="90" ht="36" customHeight="1"/>
    <row r="91" ht="36" customHeight="1"/>
    <row r="92" ht="36" customHeight="1"/>
    <row r="93" ht="36" customHeight="1"/>
    <row r="94" ht="36" customHeight="1"/>
    <row r="95" ht="36" customHeight="1"/>
    <row r="96" ht="36" customHeight="1"/>
    <row r="97" ht="36" customHeight="1"/>
    <row r="98" ht="36" customHeight="1"/>
    <row r="99" ht="36" customHeight="1"/>
    <row r="100" ht="36" customHeight="1"/>
    <row r="101" ht="36" customHeight="1"/>
    <row r="102" ht="36" customHeight="1"/>
    <row r="103" ht="36" customHeight="1"/>
    <row r="104" ht="36" customHeight="1"/>
    <row r="105" ht="36" customHeight="1"/>
    <row r="106" ht="36" customHeight="1"/>
    <row r="107" ht="36" customHeight="1"/>
    <row r="108" ht="36" customHeight="1"/>
    <row r="109" ht="36" customHeight="1"/>
    <row r="110" ht="36" customHeight="1"/>
    <row r="111" ht="36" customHeight="1"/>
    <row r="112" ht="36" customHeight="1"/>
    <row r="113" ht="36" customHeight="1"/>
    <row r="114" ht="36" customHeight="1"/>
    <row r="115" ht="36" customHeight="1"/>
    <row r="116" ht="36" customHeight="1"/>
    <row r="117" ht="36" customHeight="1"/>
    <row r="118" ht="36" customHeight="1"/>
    <row r="119" ht="36" customHeight="1"/>
    <row r="120" ht="36" customHeight="1"/>
    <row r="121" ht="36" customHeight="1"/>
    <row r="122" ht="36" customHeight="1"/>
    <row r="123" ht="36" customHeight="1"/>
    <row r="124" ht="36" customHeight="1"/>
    <row r="125" ht="36" customHeight="1"/>
    <row r="126" ht="36" customHeight="1"/>
    <row r="127" ht="36" customHeight="1"/>
    <row r="128" ht="36" customHeight="1"/>
    <row r="129" ht="36" customHeight="1"/>
    <row r="130" ht="36" customHeight="1"/>
    <row r="131" ht="36" customHeight="1"/>
    <row r="132" ht="36" customHeight="1"/>
    <row r="133" ht="36" customHeight="1"/>
    <row r="134" ht="36" customHeight="1"/>
    <row r="135" ht="36" customHeight="1"/>
    <row r="136" ht="36" customHeight="1"/>
    <row r="137" ht="36" customHeight="1"/>
    <row r="138" ht="36" customHeight="1"/>
    <row r="139" ht="36" customHeight="1"/>
    <row r="140" ht="36" customHeight="1"/>
    <row r="141" ht="36" customHeight="1"/>
    <row r="142" ht="36" customHeight="1"/>
    <row r="143" ht="36" customHeight="1"/>
    <row r="144" ht="36" customHeight="1"/>
    <row r="145" ht="36" customHeight="1"/>
    <row r="146" ht="36" customHeight="1"/>
    <row r="147" ht="36" customHeight="1"/>
    <row r="148" ht="36" customHeight="1"/>
    <row r="149" ht="36" customHeight="1"/>
    <row r="150" ht="36" customHeight="1"/>
    <row r="151" ht="36" customHeight="1"/>
    <row r="152" ht="36" customHeight="1"/>
    <row r="153" ht="36" customHeight="1"/>
    <row r="154" ht="36" customHeight="1"/>
    <row r="155" ht="36" customHeight="1"/>
    <row r="156" ht="36" customHeight="1"/>
    <row r="157" ht="36" customHeight="1"/>
    <row r="158" ht="36" customHeight="1"/>
    <row r="159" ht="36" customHeight="1"/>
    <row r="160" ht="36" customHeight="1"/>
    <row r="161" ht="36" customHeight="1"/>
    <row r="162" ht="36" customHeight="1"/>
    <row r="163" ht="36" customHeight="1"/>
    <row r="164" ht="36" customHeight="1"/>
    <row r="165" ht="36" customHeight="1"/>
    <row r="166" ht="36" customHeight="1"/>
    <row r="167" ht="36" customHeight="1"/>
    <row r="168" ht="36" customHeight="1"/>
    <row r="169" ht="36" customHeight="1"/>
    <row r="170" ht="36" customHeight="1"/>
    <row r="171" ht="36" customHeight="1"/>
    <row r="172" ht="36" customHeight="1"/>
    <row r="173" ht="36" customHeight="1"/>
    <row r="174" ht="36" customHeight="1"/>
    <row r="175" ht="36" customHeight="1"/>
    <row r="176" ht="36" customHeight="1"/>
    <row r="177" ht="36" customHeight="1"/>
    <row r="178" ht="36" customHeight="1"/>
    <row r="179" ht="36" customHeight="1"/>
    <row r="180" ht="36" customHeight="1"/>
    <row r="181" ht="36" customHeight="1"/>
    <row r="182" ht="36" customHeight="1"/>
    <row r="183" ht="36" customHeight="1"/>
    <row r="184" ht="36" customHeight="1"/>
    <row r="185" ht="36" customHeight="1"/>
    <row r="186" ht="36" customHeight="1"/>
    <row r="187" ht="36" customHeight="1"/>
    <row r="188" ht="36" customHeight="1"/>
    <row r="189" ht="36" customHeight="1"/>
    <row r="190" ht="36" customHeight="1"/>
    <row r="191" ht="36" customHeight="1"/>
    <row r="192" ht="36" customHeight="1"/>
    <row r="193" ht="36" customHeight="1"/>
    <row r="194" ht="36" customHeight="1"/>
    <row r="195" ht="36" customHeight="1"/>
    <row r="196" ht="36" customHeight="1"/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0"/>
  <sheetViews>
    <sheetView workbookViewId="0">
      <pane ySplit="1" topLeftCell="A2" activePane="bottomLeft" state="frozen"/>
      <selection pane="bottomLeft" activeCell="B16" sqref="B16"/>
    </sheetView>
  </sheetViews>
  <sheetFormatPr defaultRowHeight="14.25"/>
  <cols>
    <col min="1" max="1" width="24" customWidth="1"/>
    <col min="2" max="2" width="32" customWidth="1"/>
    <col min="3" max="3" width="36" customWidth="1"/>
    <col min="4" max="4" width="48" customWidth="1"/>
    <col min="5" max="5" width="38" customWidth="1"/>
    <col min="6" max="6" width="46" customWidth="1"/>
  </cols>
  <sheetData>
    <row r="1" spans="1:6" ht="30" customHeight="1">
      <c r="A1" s="1" t="s">
        <v>45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17</v>
      </c>
    </row>
    <row r="2" spans="1:6" ht="36" customHeight="1">
      <c r="A2" s="2" t="s">
        <v>238</v>
      </c>
      <c r="B2" s="2" t="s">
        <v>48</v>
      </c>
      <c r="C2" s="2" t="s">
        <v>239</v>
      </c>
      <c r="D2" s="2" t="s">
        <v>240</v>
      </c>
      <c r="E2" s="2" t="s">
        <v>241</v>
      </c>
      <c r="F2" s="2" t="s">
        <v>242</v>
      </c>
    </row>
    <row r="3" spans="1:6" ht="36" customHeight="1">
      <c r="A3" s="2" t="s">
        <v>219</v>
      </c>
      <c r="B3" s="2" t="s">
        <v>243</v>
      </c>
      <c r="C3" s="2" t="s">
        <v>68</v>
      </c>
      <c r="D3" s="2" t="s">
        <v>244</v>
      </c>
      <c r="E3" s="2" t="s">
        <v>245</v>
      </c>
      <c r="F3" s="2" t="s">
        <v>246</v>
      </c>
    </row>
    <row r="4" spans="1:6" ht="36" customHeight="1">
      <c r="A4" s="2" t="s">
        <v>247</v>
      </c>
      <c r="B4" s="2" t="s">
        <v>248</v>
      </c>
      <c r="C4" s="2" t="s">
        <v>81</v>
      </c>
      <c r="D4" s="2" t="s">
        <v>249</v>
      </c>
      <c r="E4" s="2" t="s">
        <v>250</v>
      </c>
      <c r="F4" s="2" t="s">
        <v>251</v>
      </c>
    </row>
    <row r="5" spans="1:6" ht="36" customHeight="1">
      <c r="A5" s="2" t="s">
        <v>247</v>
      </c>
      <c r="B5" s="2" t="s">
        <v>90</v>
      </c>
      <c r="C5" s="2" t="s">
        <v>81</v>
      </c>
      <c r="D5" s="2" t="s">
        <v>252</v>
      </c>
      <c r="E5" s="2" t="s">
        <v>253</v>
      </c>
      <c r="F5" s="2" t="s">
        <v>254</v>
      </c>
    </row>
    <row r="6" spans="1:6" ht="36" customHeight="1">
      <c r="A6" s="2" t="s">
        <v>247</v>
      </c>
      <c r="B6" s="2" t="s">
        <v>255</v>
      </c>
      <c r="C6" s="2" t="s">
        <v>81</v>
      </c>
      <c r="D6" s="2" t="s">
        <v>256</v>
      </c>
      <c r="E6" s="2" t="s">
        <v>257</v>
      </c>
      <c r="F6" s="2" t="s">
        <v>258</v>
      </c>
    </row>
    <row r="7" spans="1:6" ht="36" customHeight="1">
      <c r="A7" s="2" t="s">
        <v>247</v>
      </c>
      <c r="B7" s="2" t="s">
        <v>259</v>
      </c>
      <c r="C7" s="2" t="s">
        <v>81</v>
      </c>
      <c r="D7" s="2" t="s">
        <v>260</v>
      </c>
      <c r="E7" s="2" t="s">
        <v>261</v>
      </c>
      <c r="F7" s="2" t="s">
        <v>262</v>
      </c>
    </row>
    <row r="8" spans="1:6" ht="36" customHeight="1">
      <c r="A8" s="2" t="s">
        <v>263</v>
      </c>
      <c r="B8" s="2" t="s">
        <v>195</v>
      </c>
      <c r="C8" s="2" t="s">
        <v>264</v>
      </c>
      <c r="D8" s="2" t="s">
        <v>265</v>
      </c>
      <c r="E8" s="2" t="s">
        <v>197</v>
      </c>
      <c r="F8" s="2" t="s">
        <v>98</v>
      </c>
    </row>
    <row r="9" spans="1:6" ht="36" customHeight="1">
      <c r="A9" s="2" t="s">
        <v>266</v>
      </c>
      <c r="B9" s="2" t="s">
        <v>267</v>
      </c>
      <c r="C9" s="2" t="s">
        <v>103</v>
      </c>
      <c r="D9" s="2" t="s">
        <v>268</v>
      </c>
      <c r="E9" s="2" t="s">
        <v>269</v>
      </c>
      <c r="F9" s="2" t="s">
        <v>331</v>
      </c>
    </row>
    <row r="10" spans="1:6" ht="36" customHeight="1">
      <c r="A10" s="2" t="s">
        <v>266</v>
      </c>
      <c r="B10" s="2" t="s">
        <v>270</v>
      </c>
      <c r="C10" s="2" t="s">
        <v>103</v>
      </c>
      <c r="D10" s="2" t="s">
        <v>271</v>
      </c>
      <c r="E10" s="2" t="s">
        <v>269</v>
      </c>
      <c r="F10" s="2" t="s">
        <v>331</v>
      </c>
    </row>
    <row r="11" spans="1:6" ht="36" customHeight="1">
      <c r="A11" s="2" t="s">
        <v>272</v>
      </c>
      <c r="B11" s="2" t="s">
        <v>273</v>
      </c>
      <c r="C11" s="2" t="s">
        <v>110</v>
      </c>
      <c r="D11" s="2" t="s">
        <v>274</v>
      </c>
      <c r="E11" s="2" t="s">
        <v>275</v>
      </c>
      <c r="F11" s="2" t="s">
        <v>331</v>
      </c>
    </row>
    <row r="12" spans="1:6" ht="36" customHeight="1">
      <c r="A12" s="2" t="s">
        <v>272</v>
      </c>
      <c r="B12" s="2" t="s">
        <v>276</v>
      </c>
      <c r="C12" s="2" t="s">
        <v>110</v>
      </c>
      <c r="D12" s="2" t="s">
        <v>277</v>
      </c>
      <c r="E12" s="2" t="s">
        <v>275</v>
      </c>
      <c r="F12" s="2" t="s">
        <v>331</v>
      </c>
    </row>
    <row r="13" spans="1:6" ht="36" customHeight="1">
      <c r="A13" s="2" t="s">
        <v>225</v>
      </c>
      <c r="B13" s="2" t="s">
        <v>278</v>
      </c>
      <c r="C13" s="2" t="s">
        <v>117</v>
      </c>
      <c r="D13" s="2" t="s">
        <v>279</v>
      </c>
      <c r="E13" s="2" t="s">
        <v>280</v>
      </c>
      <c r="F13" s="2" t="s">
        <v>281</v>
      </c>
    </row>
    <row r="14" spans="1:6" ht="36" customHeight="1">
      <c r="A14" s="2" t="s">
        <v>225</v>
      </c>
      <c r="B14" s="2" t="s">
        <v>121</v>
      </c>
      <c r="C14" s="2" t="s">
        <v>117</v>
      </c>
      <c r="D14" s="2" t="s">
        <v>282</v>
      </c>
      <c r="E14" s="2" t="s">
        <v>283</v>
      </c>
      <c r="F14" s="2" t="s">
        <v>284</v>
      </c>
    </row>
    <row r="15" spans="1:6" ht="36" customHeight="1">
      <c r="A15" s="2" t="s">
        <v>225</v>
      </c>
      <c r="B15" s="2" t="s">
        <v>124</v>
      </c>
      <c r="C15" s="2" t="s">
        <v>117</v>
      </c>
      <c r="D15" s="2" t="s">
        <v>126</v>
      </c>
      <c r="E15" s="2" t="s">
        <v>285</v>
      </c>
      <c r="F15" s="2" t="s">
        <v>286</v>
      </c>
    </row>
    <row r="16" spans="1:6" ht="36" customHeight="1">
      <c r="A16" s="2" t="s">
        <v>227</v>
      </c>
      <c r="B16" s="2" t="s">
        <v>273</v>
      </c>
      <c r="C16" s="2" t="s">
        <v>134</v>
      </c>
      <c r="D16" s="2" t="s">
        <v>287</v>
      </c>
      <c r="E16" s="2" t="s">
        <v>288</v>
      </c>
      <c r="F16" s="2" t="s">
        <v>289</v>
      </c>
    </row>
    <row r="17" spans="1:6" ht="36" customHeight="1">
      <c r="A17" s="2" t="s">
        <v>227</v>
      </c>
      <c r="B17" s="2" t="s">
        <v>141</v>
      </c>
      <c r="C17" s="2" t="s">
        <v>134</v>
      </c>
      <c r="D17" s="2" t="s">
        <v>290</v>
      </c>
      <c r="E17" s="2" t="s">
        <v>291</v>
      </c>
      <c r="F17" s="2" t="s">
        <v>292</v>
      </c>
    </row>
    <row r="18" spans="1:6" ht="36" customHeight="1">
      <c r="A18" s="2" t="s">
        <v>227</v>
      </c>
      <c r="B18" s="2" t="s">
        <v>144</v>
      </c>
      <c r="C18" s="2" t="s">
        <v>134</v>
      </c>
      <c r="D18" s="2" t="s">
        <v>293</v>
      </c>
      <c r="E18" s="2" t="s">
        <v>294</v>
      </c>
      <c r="F18" s="2" t="s">
        <v>295</v>
      </c>
    </row>
    <row r="19" spans="1:6" ht="36" customHeight="1">
      <c r="A19" s="2" t="s">
        <v>230</v>
      </c>
      <c r="B19" s="2" t="s">
        <v>296</v>
      </c>
      <c r="C19" s="2" t="s">
        <v>148</v>
      </c>
      <c r="D19" s="2" t="s">
        <v>297</v>
      </c>
      <c r="E19" s="2" t="s">
        <v>298</v>
      </c>
      <c r="F19" s="2" t="s">
        <v>246</v>
      </c>
    </row>
    <row r="20" spans="1:6" ht="36" customHeight="1">
      <c r="A20" s="2" t="s">
        <v>232</v>
      </c>
      <c r="B20" s="2" t="s">
        <v>299</v>
      </c>
      <c r="C20" s="2" t="s">
        <v>159</v>
      </c>
      <c r="D20" s="2" t="s">
        <v>300</v>
      </c>
      <c r="E20" s="2" t="s">
        <v>301</v>
      </c>
      <c r="F20" s="2" t="s">
        <v>302</v>
      </c>
    </row>
    <row r="21" spans="1:6" ht="36" customHeight="1">
      <c r="A21" s="2" t="s">
        <v>232</v>
      </c>
      <c r="B21" s="2" t="s">
        <v>303</v>
      </c>
      <c r="C21" s="2" t="s">
        <v>159</v>
      </c>
      <c r="D21" s="2" t="s">
        <v>304</v>
      </c>
      <c r="E21" s="2" t="s">
        <v>305</v>
      </c>
      <c r="F21" s="2" t="s">
        <v>306</v>
      </c>
    </row>
    <row r="22" spans="1:6" ht="36" customHeight="1">
      <c r="A22" s="2" t="s">
        <v>232</v>
      </c>
      <c r="B22" s="2" t="s">
        <v>307</v>
      </c>
      <c r="C22" s="2" t="s">
        <v>159</v>
      </c>
      <c r="D22" s="2" t="s">
        <v>308</v>
      </c>
      <c r="E22" s="2" t="s">
        <v>309</v>
      </c>
      <c r="F22" s="2" t="s">
        <v>310</v>
      </c>
    </row>
    <row r="23" spans="1:6" ht="36" customHeight="1"/>
    <row r="24" spans="1:6" ht="36" customHeight="1"/>
    <row r="25" spans="1:6" ht="36" customHeight="1"/>
    <row r="26" spans="1:6" ht="36" customHeight="1"/>
    <row r="27" spans="1:6" ht="36" customHeight="1"/>
    <row r="28" spans="1:6" ht="36" customHeight="1"/>
    <row r="29" spans="1:6" ht="36" customHeight="1"/>
    <row r="30" spans="1:6" ht="36" customHeight="1"/>
    <row r="31" spans="1:6" ht="36" customHeight="1"/>
    <row r="32" spans="1:6" ht="36" customHeight="1"/>
    <row r="33" ht="36" customHeight="1"/>
    <row r="34" ht="36" customHeight="1"/>
    <row r="35" ht="36" customHeight="1"/>
    <row r="36" ht="36" customHeight="1"/>
    <row r="37" ht="36" customHeight="1"/>
    <row r="38" ht="36" customHeight="1"/>
    <row r="39" ht="36" customHeight="1"/>
    <row r="40" ht="36" customHeight="1"/>
    <row r="41" ht="36" customHeight="1"/>
    <row r="42" ht="36" customHeight="1"/>
    <row r="43" ht="36" customHeight="1"/>
    <row r="44" ht="36" customHeight="1"/>
    <row r="45" ht="36" customHeight="1"/>
    <row r="46" ht="36" customHeight="1"/>
    <row r="47" ht="36" customHeight="1"/>
    <row r="48" ht="36" customHeight="1"/>
    <row r="49" ht="36" customHeight="1"/>
    <row r="50" ht="36" customHeight="1"/>
    <row r="51" ht="36" customHeight="1"/>
    <row r="52" ht="36" customHeight="1"/>
    <row r="53" ht="36" customHeight="1"/>
    <row r="54" ht="36" customHeight="1"/>
    <row r="55" ht="36" customHeight="1"/>
    <row r="56" ht="36" customHeight="1"/>
    <row r="57" ht="36" customHeight="1"/>
    <row r="58" ht="36" customHeight="1"/>
    <row r="59" ht="36" customHeight="1"/>
    <row r="60" ht="36" customHeight="1"/>
    <row r="61" ht="36" customHeight="1"/>
    <row r="62" ht="36" customHeight="1"/>
    <row r="63" ht="36" customHeight="1"/>
    <row r="64" ht="36" customHeight="1"/>
    <row r="65" ht="36" customHeight="1"/>
    <row r="66" ht="36" customHeight="1"/>
    <row r="67" ht="36" customHeight="1"/>
    <row r="68" ht="36" customHeight="1"/>
    <row r="69" ht="36" customHeight="1"/>
    <row r="70" ht="36" customHeight="1"/>
    <row r="71" ht="36" customHeight="1"/>
    <row r="72" ht="36" customHeight="1"/>
    <row r="73" ht="36" customHeight="1"/>
    <row r="74" ht="36" customHeight="1"/>
    <row r="75" ht="36" customHeight="1"/>
    <row r="76" ht="36" customHeight="1"/>
    <row r="77" ht="36" customHeight="1"/>
    <row r="78" ht="36" customHeight="1"/>
    <row r="79" ht="36" customHeight="1"/>
    <row r="80" ht="36" customHeight="1"/>
    <row r="81" ht="36" customHeight="1"/>
    <row r="82" ht="36" customHeight="1"/>
    <row r="83" ht="36" customHeight="1"/>
    <row r="84" ht="36" customHeight="1"/>
    <row r="85" ht="36" customHeight="1"/>
    <row r="86" ht="36" customHeight="1"/>
    <row r="87" ht="36" customHeight="1"/>
    <row r="88" ht="36" customHeight="1"/>
    <row r="89" ht="36" customHeight="1"/>
    <row r="90" ht="36" customHeight="1"/>
    <row r="91" ht="36" customHeight="1"/>
    <row r="92" ht="36" customHeight="1"/>
    <row r="93" ht="36" customHeight="1"/>
    <row r="94" ht="36" customHeight="1"/>
    <row r="95" ht="36" customHeight="1"/>
    <row r="96" ht="36" customHeight="1"/>
    <row r="97" ht="36" customHeight="1"/>
    <row r="98" ht="36" customHeight="1"/>
    <row r="99" ht="36" customHeight="1"/>
    <row r="100" ht="36" customHeight="1"/>
    <row r="101" ht="36" customHeight="1"/>
    <row r="102" ht="36" customHeight="1"/>
    <row r="103" ht="36" customHeight="1"/>
    <row r="104" ht="36" customHeight="1"/>
    <row r="105" ht="36" customHeight="1"/>
    <row r="106" ht="36" customHeight="1"/>
    <row r="107" ht="36" customHeight="1"/>
    <row r="108" ht="36" customHeight="1"/>
    <row r="109" ht="36" customHeight="1"/>
    <row r="110" ht="36" customHeight="1"/>
    <row r="111" ht="36" customHeight="1"/>
    <row r="112" ht="36" customHeight="1"/>
    <row r="113" ht="36" customHeight="1"/>
    <row r="114" ht="36" customHeight="1"/>
    <row r="115" ht="36" customHeight="1"/>
    <row r="116" ht="36" customHeight="1"/>
    <row r="117" ht="36" customHeight="1"/>
    <row r="118" ht="36" customHeight="1"/>
    <row r="119" ht="36" customHeight="1"/>
    <row r="120" ht="36" customHeight="1"/>
    <row r="121" ht="36" customHeight="1"/>
    <row r="122" ht="36" customHeight="1"/>
    <row r="123" ht="36" customHeight="1"/>
    <row r="124" ht="36" customHeight="1"/>
    <row r="125" ht="36" customHeight="1"/>
    <row r="126" ht="36" customHeight="1"/>
    <row r="127" ht="36" customHeight="1"/>
    <row r="128" ht="36" customHeight="1"/>
    <row r="129" ht="36" customHeight="1"/>
    <row r="130" ht="36" customHeight="1"/>
    <row r="131" ht="36" customHeight="1"/>
    <row r="132" ht="36" customHeight="1"/>
    <row r="133" ht="36" customHeight="1"/>
    <row r="134" ht="36" customHeight="1"/>
    <row r="135" ht="36" customHeight="1"/>
    <row r="136" ht="36" customHeight="1"/>
    <row r="137" ht="36" customHeight="1"/>
    <row r="138" ht="36" customHeight="1"/>
    <row r="139" ht="36" customHeight="1"/>
    <row r="140" ht="36" customHeight="1"/>
    <row r="141" ht="36" customHeight="1"/>
    <row r="142" ht="36" customHeight="1"/>
    <row r="143" ht="36" customHeight="1"/>
    <row r="144" ht="36" customHeight="1"/>
    <row r="145" ht="36" customHeight="1"/>
    <row r="146" ht="36" customHeight="1"/>
    <row r="147" ht="36" customHeight="1"/>
    <row r="148" ht="36" customHeight="1"/>
    <row r="149" ht="36" customHeight="1"/>
    <row r="150" ht="36" customHeight="1"/>
    <row r="151" ht="36" customHeight="1"/>
    <row r="152" ht="36" customHeight="1"/>
    <row r="153" ht="36" customHeight="1"/>
    <row r="154" ht="36" customHeight="1"/>
    <row r="155" ht="36" customHeight="1"/>
    <row r="156" ht="36" customHeight="1"/>
    <row r="157" ht="36" customHeight="1"/>
    <row r="158" ht="36" customHeight="1"/>
    <row r="159" ht="36" customHeight="1"/>
    <row r="160" ht="36" customHeight="1"/>
    <row r="161" ht="36" customHeight="1"/>
    <row r="162" ht="36" customHeight="1"/>
    <row r="163" ht="36" customHeight="1"/>
    <row r="164" ht="36" customHeight="1"/>
    <row r="165" ht="36" customHeight="1"/>
    <row r="166" ht="36" customHeight="1"/>
    <row r="167" ht="36" customHeight="1"/>
    <row r="168" ht="36" customHeight="1"/>
    <row r="169" ht="36" customHeight="1"/>
    <row r="170" ht="36" customHeight="1"/>
    <row r="171" ht="36" customHeight="1"/>
    <row r="172" ht="36" customHeight="1"/>
    <row r="173" ht="36" customHeight="1"/>
    <row r="174" ht="36" customHeight="1"/>
    <row r="175" ht="36" customHeight="1"/>
    <row r="176" ht="36" customHeight="1"/>
    <row r="177" ht="36" customHeight="1"/>
    <row r="178" ht="36" customHeight="1"/>
    <row r="179" ht="36" customHeight="1"/>
    <row r="180" ht="36" customHeight="1"/>
    <row r="181" ht="36" customHeight="1"/>
    <row r="182" ht="36" customHeight="1"/>
    <row r="183" ht="36" customHeight="1"/>
    <row r="184" ht="36" customHeight="1"/>
    <row r="185" ht="36" customHeight="1"/>
    <row r="186" ht="36" customHeight="1"/>
    <row r="187" ht="36" customHeight="1"/>
    <row r="188" ht="36" customHeight="1"/>
    <row r="189" ht="36" customHeight="1"/>
    <row r="190" ht="36" customHeight="1"/>
    <row r="191" ht="36" customHeight="1"/>
    <row r="192" ht="36" customHeight="1"/>
    <row r="193" ht="36" customHeight="1"/>
    <row r="194" ht="36" customHeight="1"/>
    <row r="195" ht="36" customHeight="1"/>
    <row r="196" ht="36" customHeight="1"/>
    <row r="197" ht="36" customHeight="1"/>
    <row r="198" ht="36" customHeight="1"/>
    <row r="199" ht="36" customHeight="1"/>
    <row r="200" ht="36" customHeight="1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Checklist</vt:lpstr>
      <vt:lpstr>Beyond_Requirements</vt:lpstr>
      <vt:lpstr>AI_vs_Student</vt:lpstr>
      <vt:lpstr>Models_Techniques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Thanh Dung D24TC01</cp:lastModifiedBy>
  <dcterms:modified xsi:type="dcterms:W3CDTF">2026-05-26T03:02:51Z</dcterms:modified>
</cp:coreProperties>
</file>